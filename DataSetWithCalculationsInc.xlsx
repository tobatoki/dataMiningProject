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/>
  <xr:revisionPtr revIDLastSave="0" documentId="13_ncr:1_{862BAF7F-F4D1-4CB7-B41B-D18BFC6469BB}" xr6:coauthVersionLast="40" xr6:coauthVersionMax="40" xr10:uidLastSave="{00000000-0000-0000-0000-000000000000}"/>
  <bookViews>
    <workbookView xWindow="0" yWindow="0" windowWidth="25200" windowHeight="11880" xr2:uid="{00000000-000D-0000-FFFF-FFFF00000000}"/>
  </bookViews>
  <sheets>
    <sheet name="All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A17" i="11" l="1"/>
  <c r="AA16" i="11"/>
  <c r="AA15" i="11"/>
  <c r="AA14" i="11"/>
  <c r="AA13" i="11"/>
  <c r="AA12" i="11"/>
  <c r="AA11" i="11"/>
  <c r="AA10" i="11"/>
  <c r="AA9" i="11"/>
  <c r="AA8" i="11"/>
  <c r="AA7" i="11"/>
  <c r="AA6" i="11"/>
  <c r="AA5" i="11"/>
  <c r="AA4" i="11"/>
  <c r="AA3" i="11"/>
  <c r="F18" i="11" l="1"/>
  <c r="F19" i="11"/>
  <c r="U19" i="11"/>
  <c r="S19" i="11"/>
  <c r="P19" i="11"/>
  <c r="I19" i="11"/>
  <c r="H19" i="11"/>
  <c r="Z17" i="11"/>
  <c r="Z16" i="11"/>
  <c r="Z15" i="11"/>
  <c r="Z14" i="11"/>
  <c r="Z13" i="11"/>
  <c r="Z12" i="11"/>
  <c r="Z11" i="11"/>
  <c r="Z10" i="11"/>
  <c r="Z9" i="11"/>
  <c r="Z8" i="11"/>
  <c r="Z7" i="11"/>
  <c r="Z6" i="11"/>
  <c r="Z5" i="11"/>
  <c r="Z4" i="11"/>
  <c r="Z3" i="11"/>
  <c r="Z2" i="11"/>
  <c r="P18" i="11"/>
  <c r="Y17" i="11"/>
  <c r="Y16" i="11"/>
  <c r="Y15" i="11"/>
  <c r="Y14" i="11"/>
  <c r="Y13" i="11"/>
  <c r="Y12" i="11"/>
  <c r="Y11" i="11"/>
  <c r="Y10" i="11"/>
  <c r="Y9" i="11"/>
  <c r="Y8" i="11"/>
  <c r="Y7" i="11"/>
  <c r="Y6" i="11"/>
  <c r="Y5" i="11"/>
  <c r="Y4" i="11"/>
  <c r="Y3" i="11"/>
  <c r="Y2" i="11"/>
  <c r="Y18" i="11" s="1"/>
  <c r="U18" i="11"/>
  <c r="T18" i="11"/>
  <c r="S18" i="11"/>
  <c r="E15" i="11" l="1"/>
  <c r="C11" i="11"/>
  <c r="C6" i="11"/>
  <c r="E16" i="11"/>
  <c r="C3" i="11"/>
  <c r="C7" i="11"/>
  <c r="D12" i="11"/>
  <c r="E4" i="11"/>
  <c r="C5" i="11"/>
  <c r="E12" i="11"/>
  <c r="C2" i="11"/>
  <c r="C14" i="11"/>
  <c r="C4" i="11"/>
  <c r="C10" i="11"/>
  <c r="E8" i="11"/>
  <c r="C8" i="11"/>
  <c r="C15" i="11"/>
  <c r="D16" i="11"/>
  <c r="E5" i="11"/>
  <c r="E9" i="11"/>
  <c r="E13" i="11"/>
  <c r="E17" i="11"/>
  <c r="C17" i="11"/>
  <c r="D4" i="11"/>
  <c r="E2" i="11"/>
  <c r="E6" i="11"/>
  <c r="E10" i="11"/>
  <c r="E14" i="11"/>
  <c r="D8" i="11"/>
  <c r="D2" i="11"/>
  <c r="E3" i="11"/>
  <c r="E7" i="11"/>
  <c r="E11" i="11"/>
  <c r="D15" i="11"/>
  <c r="D5" i="11"/>
  <c r="D9" i="11"/>
  <c r="D13" i="11"/>
  <c r="D17" i="11"/>
  <c r="D14" i="11"/>
  <c r="D6" i="11"/>
  <c r="D10" i="11"/>
  <c r="D3" i="11"/>
  <c r="D7" i="11"/>
  <c r="D11" i="11"/>
  <c r="C12" i="11"/>
  <c r="C16" i="11"/>
  <c r="C9" i="11"/>
  <c r="C13" i="11"/>
  <c r="K20" i="11"/>
  <c r="I20" i="11"/>
  <c r="W17" i="11"/>
  <c r="W16" i="11"/>
  <c r="W15" i="11"/>
  <c r="W14" i="11"/>
  <c r="W13" i="11"/>
  <c r="W12" i="11"/>
  <c r="W11" i="11"/>
  <c r="W10" i="11"/>
  <c r="W9" i="11"/>
  <c r="W8" i="11"/>
  <c r="W7" i="11"/>
  <c r="W6" i="11"/>
  <c r="W5" i="11"/>
  <c r="W4" i="11"/>
  <c r="W3" i="11"/>
  <c r="V17" i="11"/>
  <c r="V16" i="11"/>
  <c r="V15" i="11"/>
  <c r="V14" i="11"/>
  <c r="V13" i="11"/>
  <c r="V12" i="11"/>
  <c r="V11" i="11"/>
  <c r="V10" i="11"/>
  <c r="V9" i="11"/>
  <c r="V8" i="11"/>
  <c r="V7" i="11"/>
  <c r="V6" i="11"/>
  <c r="V5" i="11"/>
  <c r="V4" i="11"/>
  <c r="V3" i="11"/>
  <c r="V2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" i="11"/>
  <c r="I18" i="11"/>
  <c r="H18" i="11"/>
  <c r="R18" i="11"/>
  <c r="Q18" i="11"/>
  <c r="O18" i="11"/>
  <c r="N18" i="11"/>
  <c r="M18" i="11"/>
  <c r="L18" i="11"/>
  <c r="K18" i="11"/>
  <c r="D18" i="11" l="1"/>
  <c r="E18" i="11"/>
  <c r="J17" i="11"/>
  <c r="J15" i="11"/>
  <c r="V18" i="11"/>
  <c r="W18" i="11"/>
  <c r="J5" i="11"/>
  <c r="J9" i="11"/>
  <c r="J13" i="11"/>
  <c r="V20" i="11"/>
  <c r="J4" i="11"/>
  <c r="J8" i="11"/>
  <c r="J12" i="11"/>
  <c r="J16" i="11"/>
  <c r="J3" i="11"/>
  <c r="J6" i="11"/>
  <c r="J10" i="11"/>
  <c r="J14" i="11"/>
  <c r="W20" i="11"/>
  <c r="J7" i="11"/>
  <c r="J11" i="11"/>
  <c r="C18" i="11"/>
  <c r="X68" i="11"/>
  <c r="X67" i="11"/>
  <c r="X66" i="11"/>
  <c r="X65" i="11"/>
  <c r="X64" i="11"/>
  <c r="X63" i="11"/>
  <c r="X62" i="11"/>
  <c r="X61" i="11"/>
  <c r="X60" i="11"/>
  <c r="X59" i="11"/>
  <c r="X58" i="11"/>
  <c r="X57" i="11"/>
  <c r="X56" i="11"/>
  <c r="X55" i="11"/>
  <c r="X54" i="11"/>
  <c r="X53" i="11"/>
  <c r="X52" i="11"/>
  <c r="X51" i="11"/>
  <c r="X50" i="11"/>
  <c r="X49" i="11"/>
  <c r="X48" i="11"/>
  <c r="X47" i="11"/>
  <c r="X46" i="11"/>
  <c r="X45" i="11"/>
  <c r="X44" i="11"/>
  <c r="X43" i="11"/>
  <c r="X42" i="11"/>
  <c r="X41" i="11"/>
  <c r="X40" i="11"/>
  <c r="X39" i="11"/>
  <c r="X38" i="11"/>
  <c r="X37" i="11"/>
  <c r="X36" i="11"/>
  <c r="X35" i="11"/>
  <c r="X34" i="11"/>
  <c r="X33" i="11"/>
  <c r="X32" i="11"/>
  <c r="X31" i="11"/>
  <c r="X30" i="11"/>
  <c r="X29" i="11"/>
  <c r="X28" i="11"/>
  <c r="X27" i="11"/>
  <c r="X26" i="11"/>
  <c r="X25" i="11"/>
  <c r="X24" i="11"/>
  <c r="X23" i="11"/>
  <c r="X22" i="11"/>
  <c r="X21" i="11"/>
  <c r="X17" i="11"/>
  <c r="X16" i="11"/>
  <c r="X15" i="11"/>
  <c r="X14" i="11"/>
  <c r="X13" i="11"/>
  <c r="X12" i="11"/>
  <c r="X11" i="11"/>
  <c r="X10" i="11"/>
  <c r="X9" i="11"/>
  <c r="X8" i="11"/>
  <c r="X7" i="11"/>
  <c r="X6" i="11"/>
  <c r="X5" i="11"/>
  <c r="X4" i="11"/>
  <c r="X3" i="11"/>
  <c r="X2" i="11"/>
  <c r="J18" i="11" l="1"/>
  <c r="X18" i="11"/>
</calcChain>
</file>

<file path=xl/sharedStrings.xml><?xml version="1.0" encoding="utf-8"?>
<sst xmlns="http://schemas.openxmlformats.org/spreadsheetml/2006/main" count="238" uniqueCount="73">
  <si>
    <t>Team</t>
  </si>
  <si>
    <t>Round Reached</t>
  </si>
  <si>
    <t>Total Win</t>
  </si>
  <si>
    <t>Austria</t>
  </si>
  <si>
    <t>Czech Republic</t>
  </si>
  <si>
    <t>Germany</t>
  </si>
  <si>
    <t>Greece</t>
  </si>
  <si>
    <t>France</t>
  </si>
  <si>
    <t>Italy</t>
  </si>
  <si>
    <t>Netherlands</t>
  </si>
  <si>
    <t>Portugal</t>
  </si>
  <si>
    <t>Romania</t>
  </si>
  <si>
    <t>Switzerland</t>
  </si>
  <si>
    <t>Turkey</t>
  </si>
  <si>
    <t>Russia</t>
  </si>
  <si>
    <t>Spain</t>
  </si>
  <si>
    <t>Poland</t>
  </si>
  <si>
    <t>Wins vs Top 10 ranked</t>
  </si>
  <si>
    <t>Loss vs Top 10 ranked</t>
  </si>
  <si>
    <t>Draw vs Top 10 ranked</t>
  </si>
  <si>
    <t>Goals Scored vs Top 10 ranked</t>
  </si>
  <si>
    <t>Goals Conceded vs Top 10 ranked</t>
  </si>
  <si>
    <t>Total Draw</t>
  </si>
  <si>
    <t>Total Loss</t>
  </si>
  <si>
    <t>Total goals conceded</t>
  </si>
  <si>
    <t>Games Played vs Top 10 ranked</t>
  </si>
  <si>
    <t>Total Clean Sheets</t>
  </si>
  <si>
    <t>Clean Sheet vs top 10 ranked</t>
  </si>
  <si>
    <t>Croatia</t>
  </si>
  <si>
    <t>Total Games Played</t>
  </si>
  <si>
    <t>TournamentYear</t>
  </si>
  <si>
    <t>Sweden</t>
  </si>
  <si>
    <t>Qualified As</t>
  </si>
  <si>
    <t>Host</t>
  </si>
  <si>
    <t>Winner</t>
  </si>
  <si>
    <t>runner-up</t>
  </si>
  <si>
    <t>Group</t>
  </si>
  <si>
    <t>QuarterFinal</t>
  </si>
  <si>
    <t>Final</t>
  </si>
  <si>
    <t>Semi-Finals</t>
  </si>
  <si>
    <t>Bulgaria</t>
  </si>
  <si>
    <t>Runner Up</t>
  </si>
  <si>
    <t>Czech Rep</t>
  </si>
  <si>
    <t>Semi-final</t>
  </si>
  <si>
    <t>Denmark</t>
  </si>
  <si>
    <t>Quarter-final</t>
  </si>
  <si>
    <t>England</t>
  </si>
  <si>
    <t>Latvia</t>
  </si>
  <si>
    <t>Total goals scored</t>
  </si>
  <si>
    <t>Republic of Ireland</t>
  </si>
  <si>
    <t>Ukraine</t>
  </si>
  <si>
    <t>Belgium</t>
  </si>
  <si>
    <t>FR Yugoslavia</t>
  </si>
  <si>
    <t>Norway</t>
  </si>
  <si>
    <t>Slovenia</t>
  </si>
  <si>
    <t>Quarter Final</t>
  </si>
  <si>
    <t>Semi Finals</t>
  </si>
  <si>
    <t>Runner up</t>
  </si>
  <si>
    <t>NULL</t>
  </si>
  <si>
    <t>TotalWin%</t>
  </si>
  <si>
    <t>Avg</t>
  </si>
  <si>
    <t>StandardDev</t>
  </si>
  <si>
    <t>CorrelationTotalGames/wins</t>
  </si>
  <si>
    <t>CorrelationvTop10 TotalGames/wins</t>
  </si>
  <si>
    <t>Games played vs Normal</t>
  </si>
  <si>
    <t>Total Win vs Normal</t>
  </si>
  <si>
    <t>Total Lose vs Normal</t>
  </si>
  <si>
    <t>SUM</t>
  </si>
  <si>
    <t>CorrelationTotalGames/loses</t>
  </si>
  <si>
    <t>TotalLose%</t>
  </si>
  <si>
    <t>CorrelationGamesPlayed/GoalsScored</t>
  </si>
  <si>
    <t>GoalsPerGame%</t>
  </si>
  <si>
    <t>Win%vs top10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</si>
</sst>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C5F3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2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C5F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tabSelected="1" zoomScale="66" zoomScaleNormal="66" workbookViewId="0">
      <selection activeCell="H25" sqref="H25"/>
    </sheetView>
  </sheetViews>
  <sheetFormatPr defaultRowHeight="14.5" x14ac:dyDescent="0.35"/>
  <cols>
    <col min="3" max="5" width="32.81640625" customWidth="1"/>
    <col min="6" max="7" width="20.453125" customWidth="1"/>
    <col min="8" max="8" width="28.81640625" customWidth="1"/>
    <col min="9" max="9" width="21.7265625" customWidth="1"/>
    <col min="10" max="10" width="43.1796875" customWidth="1"/>
    <col min="11" max="11" width="22.26953125" customWidth="1"/>
    <col min="12" max="12" width="19.7265625" customWidth="1"/>
    <col min="13" max="13" width="27.1796875" customWidth="1"/>
    <col min="14" max="14" width="30.81640625" customWidth="1"/>
    <col min="15" max="15" width="25.54296875" customWidth="1"/>
    <col min="18" max="18" width="27" customWidth="1"/>
    <col min="19" max="19" width="9.1796875" style="8"/>
    <col min="20" max="20" width="9.1796875" style="4"/>
    <col min="21" max="21" width="9.1796875" style="3"/>
    <col min="22" max="22" width="16.54296875" style="1" customWidth="1"/>
    <col min="23" max="23" width="18.7265625" style="1" customWidth="1"/>
    <col min="24" max="24" width="13.1796875" style="1" customWidth="1"/>
    <col min="25" max="25" width="9.1796875" style="1"/>
    <col min="26" max="27" width="17" style="1" customWidth="1"/>
    <col min="28" max="28" width="15.1796875" customWidth="1"/>
    <col min="29" max="29" width="19.26953125" customWidth="1"/>
  </cols>
  <sheetData>
    <row r="1" spans="1:29" x14ac:dyDescent="0.35">
      <c r="A1" t="s">
        <v>30</v>
      </c>
      <c r="B1" t="s">
        <v>0</v>
      </c>
      <c r="C1" s="9" t="s">
        <v>62</v>
      </c>
      <c r="D1" s="9" t="s">
        <v>68</v>
      </c>
      <c r="E1" s="9" t="s">
        <v>70</v>
      </c>
      <c r="F1" t="s">
        <v>29</v>
      </c>
      <c r="G1" t="s">
        <v>64</v>
      </c>
      <c r="H1" s="7" t="s">
        <v>25</v>
      </c>
      <c r="I1" s="2" t="s">
        <v>17</v>
      </c>
      <c r="J1" s="9" t="s">
        <v>63</v>
      </c>
      <c r="K1" s="3" t="s">
        <v>18</v>
      </c>
      <c r="L1" s="4" t="s">
        <v>19</v>
      </c>
      <c r="M1" s="5" t="s">
        <v>20</v>
      </c>
      <c r="N1" s="5" t="s">
        <v>21</v>
      </c>
      <c r="O1" s="5" t="s">
        <v>27</v>
      </c>
      <c r="P1" s="6" t="s">
        <v>48</v>
      </c>
      <c r="Q1" s="6" t="s">
        <v>24</v>
      </c>
      <c r="R1" s="6" t="s">
        <v>26</v>
      </c>
      <c r="S1" s="8" t="s">
        <v>2</v>
      </c>
      <c r="T1" s="4" t="s">
        <v>22</v>
      </c>
      <c r="U1" s="3" t="s">
        <v>23</v>
      </c>
      <c r="V1" s="1" t="s">
        <v>65</v>
      </c>
      <c r="W1" s="1" t="s">
        <v>66</v>
      </c>
      <c r="X1" s="5" t="s">
        <v>59</v>
      </c>
      <c r="Y1" s="5" t="s">
        <v>69</v>
      </c>
      <c r="Z1" s="5" t="s">
        <v>71</v>
      </c>
      <c r="AA1" s="5" t="s">
        <v>72</v>
      </c>
      <c r="AB1" s="5" t="s">
        <v>32</v>
      </c>
      <c r="AC1" s="5" t="s">
        <v>1</v>
      </c>
    </row>
    <row r="2" spans="1:29" s="7" customFormat="1" ht="14.25" customHeight="1" x14ac:dyDescent="0.35">
      <c r="A2" s="7">
        <v>2012</v>
      </c>
      <c r="B2" s="7" t="s">
        <v>28</v>
      </c>
      <c r="C2" s="7">
        <f>(F2-F18)*(S2-S18)/(F19*S19)</f>
        <v>0.15396443954995398</v>
      </c>
      <c r="D2" s="7">
        <f>(F2-F18)*(U2-U18)/(F19*U19)</f>
        <v>-0.1375738368257752</v>
      </c>
      <c r="E2" s="7">
        <f>(F2-F18)*(P2-P18)/(F19*P19)</f>
        <v>0.17641008562628629</v>
      </c>
      <c r="F2" s="7">
        <v>20</v>
      </c>
      <c r="G2" s="7">
        <f t="shared" ref="G2:G17" si="0">F2-H2</f>
        <v>20</v>
      </c>
      <c r="H2" s="7">
        <v>0</v>
      </c>
      <c r="I2" s="7">
        <v>0</v>
      </c>
      <c r="J2" s="7" t="s">
        <v>58</v>
      </c>
      <c r="K2" s="7" t="s">
        <v>58</v>
      </c>
      <c r="L2" s="7" t="s">
        <v>58</v>
      </c>
      <c r="M2" s="7" t="s">
        <v>58</v>
      </c>
      <c r="N2" s="7" t="s">
        <v>58</v>
      </c>
      <c r="O2" s="7" t="s">
        <v>58</v>
      </c>
      <c r="P2" s="7">
        <v>33</v>
      </c>
      <c r="Q2" s="7">
        <v>15</v>
      </c>
      <c r="R2" s="7">
        <v>8</v>
      </c>
      <c r="S2" s="7">
        <v>11</v>
      </c>
      <c r="T2" s="7">
        <v>3</v>
      </c>
      <c r="U2" s="7">
        <v>6</v>
      </c>
      <c r="V2" s="7">
        <f t="shared" ref="V2:V17" si="1">S2-I2</f>
        <v>11</v>
      </c>
      <c r="W2" s="7">
        <v>6</v>
      </c>
      <c r="X2" s="7">
        <f t="shared" ref="X2:X17" si="2">S2/F2</f>
        <v>0.55000000000000004</v>
      </c>
      <c r="Y2" s="7">
        <f t="shared" ref="Y2:Y17" si="3">U2/F2</f>
        <v>0.3</v>
      </c>
      <c r="Z2" s="7">
        <f t="shared" ref="Z2:Z17" si="4">P2/F2</f>
        <v>1.65</v>
      </c>
      <c r="AB2" s="7" t="s">
        <v>35</v>
      </c>
      <c r="AC2" s="7" t="s">
        <v>36</v>
      </c>
    </row>
    <row r="3" spans="1:29" s="7" customFormat="1" x14ac:dyDescent="0.35">
      <c r="A3" s="7">
        <v>2012</v>
      </c>
      <c r="B3" s="7" t="s">
        <v>4</v>
      </c>
      <c r="C3" s="7">
        <f>(F3-F18)*(S3-S18)/(F19*S19)</f>
        <v>0.60186099096800194</v>
      </c>
      <c r="D3" s="7">
        <f>(F3-F18)*(U3-U18)/(F19*U19)</f>
        <v>0.1375738368257752</v>
      </c>
      <c r="E3" s="7">
        <f>(F3-F18)*(P3-P18)/(F19*P19)</f>
        <v>0.3556203313418787</v>
      </c>
      <c r="F3" s="7">
        <v>20</v>
      </c>
      <c r="G3" s="7">
        <f t="shared" si="0"/>
        <v>17</v>
      </c>
      <c r="H3" s="7">
        <v>3</v>
      </c>
      <c r="I3" s="7">
        <v>0</v>
      </c>
      <c r="J3" s="7">
        <f>(H3-H18)*(I3-I18)/(H19*I19)</f>
        <v>8.6731229353421299E-2</v>
      </c>
      <c r="K3" s="7">
        <v>3</v>
      </c>
      <c r="L3" s="7">
        <v>0</v>
      </c>
      <c r="M3" s="7">
        <v>3</v>
      </c>
      <c r="N3" s="7">
        <v>8</v>
      </c>
      <c r="O3" s="7">
        <v>0</v>
      </c>
      <c r="P3" s="7">
        <v>29</v>
      </c>
      <c r="Q3" s="7">
        <v>20</v>
      </c>
      <c r="R3" s="7">
        <v>9</v>
      </c>
      <c r="S3" s="7">
        <v>9</v>
      </c>
      <c r="T3" s="7">
        <v>6</v>
      </c>
      <c r="U3" s="7">
        <v>5</v>
      </c>
      <c r="V3" s="7">
        <f t="shared" si="1"/>
        <v>9</v>
      </c>
      <c r="W3" s="7">
        <f t="shared" ref="W3:W17" si="5">U3-K3</f>
        <v>2</v>
      </c>
      <c r="X3" s="7">
        <f t="shared" si="2"/>
        <v>0.45</v>
      </c>
      <c r="Y3" s="7">
        <f t="shared" si="3"/>
        <v>0.25</v>
      </c>
      <c r="Z3" s="7">
        <f t="shared" si="4"/>
        <v>1.45</v>
      </c>
      <c r="AA3" s="7">
        <f t="shared" ref="AA3:AA17" si="6">I3/H3</f>
        <v>0</v>
      </c>
      <c r="AB3" s="7" t="s">
        <v>35</v>
      </c>
      <c r="AC3" s="7" t="s">
        <v>37</v>
      </c>
    </row>
    <row r="4" spans="1:29" s="7" customFormat="1" x14ac:dyDescent="0.35">
      <c r="A4" s="7">
        <v>2012</v>
      </c>
      <c r="B4" s="7" t="s">
        <v>44</v>
      </c>
      <c r="C4" s="7">
        <f>(F4-F18)*(S4-S18)/(F19*S19)</f>
        <v>1.0892778263347012</v>
      </c>
      <c r="D4" s="7">
        <f>(F4-F18)*(U4-U18)/(F19*U19)</f>
        <v>1.982681766018525</v>
      </c>
      <c r="E4" s="7">
        <f>(F4-F18)*(P4-P18)/(F19*P19)</f>
        <v>1.154160102692239</v>
      </c>
      <c r="F4" s="7">
        <v>18</v>
      </c>
      <c r="G4" s="7">
        <f t="shared" si="0"/>
        <v>13</v>
      </c>
      <c r="H4" s="7">
        <v>5</v>
      </c>
      <c r="I4" s="7">
        <v>1</v>
      </c>
      <c r="J4" s="7">
        <f>(H4-H18)*(I4-I18)/(H19*I19)</f>
        <v>8.6731229353421299E-2</v>
      </c>
      <c r="K4" s="7">
        <v>3</v>
      </c>
      <c r="L4" s="7">
        <v>1</v>
      </c>
      <c r="M4" s="7">
        <v>6</v>
      </c>
      <c r="N4" s="7">
        <v>12</v>
      </c>
      <c r="O4" s="7">
        <v>0</v>
      </c>
      <c r="P4" s="7">
        <v>28</v>
      </c>
      <c r="Q4" s="7">
        <v>19</v>
      </c>
      <c r="R4" s="7">
        <v>7</v>
      </c>
      <c r="S4" s="7">
        <v>10</v>
      </c>
      <c r="T4" s="7">
        <v>5</v>
      </c>
      <c r="U4" s="7">
        <v>3</v>
      </c>
      <c r="V4" s="7">
        <f t="shared" si="1"/>
        <v>9</v>
      </c>
      <c r="W4" s="7">
        <f t="shared" si="5"/>
        <v>0</v>
      </c>
      <c r="X4" s="7">
        <f t="shared" si="2"/>
        <v>0.55555555555555558</v>
      </c>
      <c r="Y4" s="7">
        <f t="shared" si="3"/>
        <v>0.16666666666666666</v>
      </c>
      <c r="Z4" s="7">
        <f t="shared" si="4"/>
        <v>1.5555555555555556</v>
      </c>
      <c r="AA4" s="7">
        <f t="shared" si="6"/>
        <v>0.2</v>
      </c>
      <c r="AB4" s="7" t="s">
        <v>34</v>
      </c>
      <c r="AC4" s="7" t="s">
        <v>36</v>
      </c>
    </row>
    <row r="5" spans="1:29" s="7" customFormat="1" x14ac:dyDescent="0.35">
      <c r="A5" s="7">
        <v>2012</v>
      </c>
      <c r="B5" s="7" t="s">
        <v>46</v>
      </c>
      <c r="C5" s="7">
        <f>(F5-F18)*(S5-S18)/(F19*S19)</f>
        <v>0.58868756298511826</v>
      </c>
      <c r="D5" s="7">
        <f>(F5-F18)*(U5-U18)/(F19*U19)</f>
        <v>1.5780528341780096</v>
      </c>
      <c r="E5" s="7">
        <f>(F5-F18)*(P5-P18)/(F19*P19)</f>
        <v>1.1884208849613964</v>
      </c>
      <c r="F5" s="7">
        <v>17</v>
      </c>
      <c r="G5" s="7">
        <f t="shared" si="0"/>
        <v>15</v>
      </c>
      <c r="H5" s="7">
        <v>2</v>
      </c>
      <c r="I5" s="7">
        <v>1</v>
      </c>
      <c r="J5" s="7">
        <f>(H5-H18)*(I5-I18)/(H19*I19)</f>
        <v>-5.2038737612052778E-2</v>
      </c>
      <c r="K5" s="7">
        <v>1</v>
      </c>
      <c r="L5" s="7">
        <v>0</v>
      </c>
      <c r="M5" s="7">
        <v>3</v>
      </c>
      <c r="N5" s="7">
        <v>3</v>
      </c>
      <c r="O5" s="7">
        <v>1</v>
      </c>
      <c r="P5" s="7">
        <v>30</v>
      </c>
      <c r="Q5" s="7">
        <v>13</v>
      </c>
      <c r="R5" s="7">
        <v>9</v>
      </c>
      <c r="S5" s="7">
        <v>11</v>
      </c>
      <c r="T5" s="7">
        <v>2</v>
      </c>
      <c r="U5" s="7">
        <v>4</v>
      </c>
      <c r="V5" s="7">
        <f t="shared" si="1"/>
        <v>10</v>
      </c>
      <c r="W5" s="7">
        <f t="shared" si="5"/>
        <v>3</v>
      </c>
      <c r="X5" s="7">
        <f t="shared" si="2"/>
        <v>0.6470588235294118</v>
      </c>
      <c r="Y5" s="7">
        <f t="shared" si="3"/>
        <v>0.23529411764705882</v>
      </c>
      <c r="Z5" s="7">
        <f t="shared" si="4"/>
        <v>1.7647058823529411</v>
      </c>
      <c r="AA5" s="7">
        <f t="shared" si="6"/>
        <v>0.5</v>
      </c>
      <c r="AB5" s="7" t="s">
        <v>34</v>
      </c>
      <c r="AC5" s="7" t="s">
        <v>37</v>
      </c>
    </row>
    <row r="6" spans="1:29" s="7" customFormat="1" x14ac:dyDescent="0.35">
      <c r="A6" s="7">
        <v>2012</v>
      </c>
      <c r="B6" s="7" t="s">
        <v>7</v>
      </c>
      <c r="C6" s="7">
        <f>(F6-F18)*(S6-S18)/(F19*S19)</f>
        <v>1.3527463859923765</v>
      </c>
      <c r="D6" s="7">
        <f>(F6-F18)*(U6-U18)/(F19*U19)</f>
        <v>0.25086993774111949</v>
      </c>
      <c r="E6" s="7">
        <f>(F6-F18)*(P6-P18)/(F19*P19)</f>
        <v>5.106174280499416E-3</v>
      </c>
      <c r="F6" s="7">
        <v>23</v>
      </c>
      <c r="G6" s="7">
        <f t="shared" si="0"/>
        <v>19</v>
      </c>
      <c r="H6" s="7">
        <v>4</v>
      </c>
      <c r="I6" s="7">
        <v>3</v>
      </c>
      <c r="J6" s="7">
        <f>(H6-H18)*(I6-I18)/(H19*I19)</f>
        <v>1.335660932042688</v>
      </c>
      <c r="K6" s="7">
        <v>0</v>
      </c>
      <c r="L6" s="7">
        <v>1</v>
      </c>
      <c r="M6" s="7">
        <v>5</v>
      </c>
      <c r="N6" s="7">
        <v>2</v>
      </c>
      <c r="O6" s="7">
        <v>2</v>
      </c>
      <c r="P6" s="7">
        <v>37</v>
      </c>
      <c r="Q6" s="7">
        <v>12</v>
      </c>
      <c r="R6" s="7">
        <v>13</v>
      </c>
      <c r="S6" s="7">
        <v>15</v>
      </c>
      <c r="T6" s="7">
        <v>2</v>
      </c>
      <c r="U6" s="7">
        <v>6</v>
      </c>
      <c r="V6" s="7">
        <f t="shared" si="1"/>
        <v>12</v>
      </c>
      <c r="W6" s="7">
        <f t="shared" si="5"/>
        <v>6</v>
      </c>
      <c r="X6" s="7">
        <f t="shared" si="2"/>
        <v>0.65217391304347827</v>
      </c>
      <c r="Y6" s="7">
        <f t="shared" si="3"/>
        <v>0.2608695652173913</v>
      </c>
      <c r="Z6" s="7">
        <f t="shared" si="4"/>
        <v>1.6086956521739131</v>
      </c>
      <c r="AA6" s="7">
        <f t="shared" si="6"/>
        <v>0.75</v>
      </c>
      <c r="AB6" s="7" t="s">
        <v>34</v>
      </c>
      <c r="AC6" s="7" t="s">
        <v>37</v>
      </c>
    </row>
    <row r="7" spans="1:29" s="7" customFormat="1" x14ac:dyDescent="0.35">
      <c r="A7" s="7">
        <v>2012</v>
      </c>
      <c r="B7" s="7" t="s">
        <v>5</v>
      </c>
      <c r="C7" s="7">
        <f>(F7-F18)*(S7-S18)/(F19*S19)</f>
        <v>0.45695328315628059</v>
      </c>
      <c r="D7" s="7">
        <f>(F7-F18)*(U7-U18)/(F19*U19)</f>
        <v>-0.12138867955215459</v>
      </c>
      <c r="E7" s="7">
        <f>(F7-F18)*(P7-P18)/(F19*P19)</f>
        <v>0.79310416647111903</v>
      </c>
      <c r="F7" s="7">
        <v>22</v>
      </c>
      <c r="G7" s="7">
        <f t="shared" si="0"/>
        <v>18</v>
      </c>
      <c r="H7" s="7">
        <v>4</v>
      </c>
      <c r="I7" s="7">
        <v>3</v>
      </c>
      <c r="J7" s="7">
        <f>(H7-H18)*(I7-I18)/(H19*I19)</f>
        <v>1.335660932042688</v>
      </c>
      <c r="K7" s="7">
        <v>0</v>
      </c>
      <c r="L7" s="7">
        <v>1</v>
      </c>
      <c r="M7" s="7">
        <v>9</v>
      </c>
      <c r="N7" s="7">
        <v>6</v>
      </c>
      <c r="O7" s="7">
        <v>1</v>
      </c>
      <c r="P7" s="7">
        <v>57</v>
      </c>
      <c r="Q7" s="7">
        <v>29</v>
      </c>
      <c r="R7" s="7">
        <v>7</v>
      </c>
      <c r="S7" s="7">
        <v>14</v>
      </c>
      <c r="T7" s="7">
        <v>3</v>
      </c>
      <c r="U7" s="7">
        <v>5</v>
      </c>
      <c r="V7" s="7">
        <f t="shared" si="1"/>
        <v>11</v>
      </c>
      <c r="W7" s="7">
        <f t="shared" si="5"/>
        <v>5</v>
      </c>
      <c r="X7" s="7">
        <f t="shared" si="2"/>
        <v>0.63636363636363635</v>
      </c>
      <c r="Y7" s="7">
        <f t="shared" si="3"/>
        <v>0.22727272727272727</v>
      </c>
      <c r="Z7" s="7">
        <f t="shared" si="4"/>
        <v>2.5909090909090908</v>
      </c>
      <c r="AA7" s="7">
        <f t="shared" si="6"/>
        <v>0.75</v>
      </c>
      <c r="AB7" s="7" t="s">
        <v>34</v>
      </c>
      <c r="AC7" s="7" t="s">
        <v>39</v>
      </c>
    </row>
    <row r="8" spans="1:29" s="7" customFormat="1" x14ac:dyDescent="0.35">
      <c r="A8" s="7">
        <v>2012</v>
      </c>
      <c r="B8" s="7" t="s">
        <v>6</v>
      </c>
      <c r="C8" s="7">
        <f>(F8-F18)*(S8-S18)/(F19*S19)</f>
        <v>9.0567317382325881E-3</v>
      </c>
      <c r="D8" s="7">
        <f>(F8-F18)*(U8-U18)/(F19*U19)</f>
        <v>-5.6648050457672142E-2</v>
      </c>
      <c r="E8" s="7">
        <f>(F8-F18)*(P8-P18)/(F19*P19)</f>
        <v>3.6731511759721606E-2</v>
      </c>
      <c r="F8" s="7">
        <v>21</v>
      </c>
      <c r="G8" s="7">
        <f t="shared" si="0"/>
        <v>19</v>
      </c>
      <c r="H8" s="7">
        <v>2</v>
      </c>
      <c r="I8" s="7">
        <v>1</v>
      </c>
      <c r="J8" s="7">
        <f>(H8-H18)*(I8-I18)/(H19*I19)</f>
        <v>-5.2038737612052778E-2</v>
      </c>
      <c r="K8" s="7">
        <v>0</v>
      </c>
      <c r="L8" s="7">
        <v>1</v>
      </c>
      <c r="M8" s="7">
        <v>2</v>
      </c>
      <c r="N8" s="7">
        <v>0</v>
      </c>
      <c r="O8" s="7">
        <v>2</v>
      </c>
      <c r="P8" s="7">
        <v>23</v>
      </c>
      <c r="Q8" s="7">
        <v>13</v>
      </c>
      <c r="R8" s="7">
        <v>10</v>
      </c>
      <c r="S8" s="7">
        <v>11</v>
      </c>
      <c r="T8" s="7">
        <v>1</v>
      </c>
      <c r="U8" s="7">
        <v>9</v>
      </c>
      <c r="V8" s="7">
        <f t="shared" si="1"/>
        <v>10</v>
      </c>
      <c r="W8" s="7">
        <f t="shared" si="5"/>
        <v>9</v>
      </c>
      <c r="X8" s="7">
        <f t="shared" si="2"/>
        <v>0.52380952380952384</v>
      </c>
      <c r="Y8" s="7">
        <f t="shared" si="3"/>
        <v>0.42857142857142855</v>
      </c>
      <c r="Z8" s="7">
        <f t="shared" si="4"/>
        <v>1.0952380952380953</v>
      </c>
      <c r="AA8" s="7">
        <f t="shared" si="6"/>
        <v>0.5</v>
      </c>
      <c r="AB8" s="7" t="s">
        <v>34</v>
      </c>
      <c r="AC8" s="7" t="s">
        <v>37</v>
      </c>
    </row>
    <row r="9" spans="1:29" s="7" customFormat="1" x14ac:dyDescent="0.35">
      <c r="A9" s="7">
        <v>2012</v>
      </c>
      <c r="B9" s="7" t="s">
        <v>8</v>
      </c>
      <c r="C9" s="7">
        <f>(F9-F18)*(S9-S18)/(F19*S19)</f>
        <v>0.15396443954995398</v>
      </c>
      <c r="D9" s="7">
        <f>(F9-F18)*(U9-U18)/(F19*U19)</f>
        <v>0.41272151047732558</v>
      </c>
      <c r="E9" s="7">
        <f>(F9-F18)*(P9-P18)/(F19*P19)</f>
        <v>0.44522545419967491</v>
      </c>
      <c r="F9" s="7">
        <v>20</v>
      </c>
      <c r="G9" s="7">
        <f t="shared" si="0"/>
        <v>16</v>
      </c>
      <c r="H9" s="7">
        <v>4</v>
      </c>
      <c r="I9" s="7">
        <v>1</v>
      </c>
      <c r="J9" s="7">
        <f>(H9-H18)*(I9-I18)/(H19*I19)</f>
        <v>4.0474573698263273E-2</v>
      </c>
      <c r="K9" s="7">
        <v>1</v>
      </c>
      <c r="L9" s="7">
        <v>1</v>
      </c>
      <c r="M9" s="7">
        <v>3</v>
      </c>
      <c r="N9" s="7">
        <v>3</v>
      </c>
      <c r="O9" s="7">
        <v>0</v>
      </c>
      <c r="P9" s="7">
        <v>27</v>
      </c>
      <c r="Q9" s="7">
        <v>13</v>
      </c>
      <c r="R9" s="7">
        <v>10</v>
      </c>
      <c r="S9" s="7">
        <v>11</v>
      </c>
      <c r="T9" s="7">
        <v>5</v>
      </c>
      <c r="U9" s="7">
        <v>4</v>
      </c>
      <c r="V9" s="7">
        <f t="shared" si="1"/>
        <v>10</v>
      </c>
      <c r="W9" s="7">
        <f t="shared" si="5"/>
        <v>3</v>
      </c>
      <c r="X9" s="7">
        <f t="shared" si="2"/>
        <v>0.55000000000000004</v>
      </c>
      <c r="Y9" s="7">
        <f t="shared" si="3"/>
        <v>0.2</v>
      </c>
      <c r="Z9" s="7">
        <f t="shared" si="4"/>
        <v>1.35</v>
      </c>
      <c r="AA9" s="7">
        <f t="shared" si="6"/>
        <v>0.25</v>
      </c>
      <c r="AB9" s="7" t="s">
        <v>34</v>
      </c>
      <c r="AC9" s="7" t="s">
        <v>38</v>
      </c>
    </row>
    <row r="10" spans="1:29" s="7" customFormat="1" x14ac:dyDescent="0.35">
      <c r="A10" s="7">
        <v>2012</v>
      </c>
      <c r="B10" s="7" t="s">
        <v>9</v>
      </c>
      <c r="C10" s="7">
        <f>(F10-F18)*(S10-S18)/(F19*S19)</f>
        <v>-3.0463552210418705E-2</v>
      </c>
      <c r="D10" s="7">
        <f>(F10-F18)*(U10-U18)/(F19*U19)</f>
        <v>2.4277735910430916E-2</v>
      </c>
      <c r="E10" s="7">
        <f>(F10-F18)*(P10-P18)/(F19*P19)</f>
        <v>-4.4967276728269057E-2</v>
      </c>
      <c r="F10" s="7">
        <v>21</v>
      </c>
      <c r="G10" s="7">
        <f t="shared" si="0"/>
        <v>17</v>
      </c>
      <c r="H10" s="7">
        <v>4</v>
      </c>
      <c r="I10" s="7">
        <v>1</v>
      </c>
      <c r="J10" s="7">
        <f>(H10-H18)*(I10-I18)/(H19*I19)</f>
        <v>4.0474573698263273E-2</v>
      </c>
      <c r="K10" s="7">
        <v>1</v>
      </c>
      <c r="L10" s="7">
        <v>2</v>
      </c>
      <c r="M10" s="7">
        <v>4</v>
      </c>
      <c r="N10" s="7">
        <v>6</v>
      </c>
      <c r="O10" s="7">
        <v>1</v>
      </c>
      <c r="P10" s="7">
        <v>54</v>
      </c>
      <c r="Q10" s="7">
        <v>19</v>
      </c>
      <c r="R10" s="7">
        <v>11</v>
      </c>
      <c r="S10" s="7">
        <v>14</v>
      </c>
      <c r="T10" s="7">
        <v>3</v>
      </c>
      <c r="U10" s="7">
        <v>4</v>
      </c>
      <c r="V10" s="7">
        <f t="shared" si="1"/>
        <v>13</v>
      </c>
      <c r="W10" s="7">
        <f t="shared" si="5"/>
        <v>3</v>
      </c>
      <c r="X10" s="7">
        <f t="shared" si="2"/>
        <v>0.66666666666666663</v>
      </c>
      <c r="Y10" s="7">
        <f t="shared" si="3"/>
        <v>0.19047619047619047</v>
      </c>
      <c r="Z10" s="7">
        <f t="shared" si="4"/>
        <v>2.5714285714285716</v>
      </c>
      <c r="AA10" s="7">
        <f t="shared" si="6"/>
        <v>0.25</v>
      </c>
      <c r="AB10" s="7" t="s">
        <v>34</v>
      </c>
      <c r="AC10" s="7" t="s">
        <v>36</v>
      </c>
    </row>
    <row r="11" spans="1:29" s="7" customFormat="1" x14ac:dyDescent="0.35">
      <c r="A11" s="7">
        <v>2012</v>
      </c>
      <c r="B11" s="7" t="s">
        <v>16</v>
      </c>
      <c r="C11" s="7">
        <f>(F11-F18)*(S11-S18)/(F19*S19)</f>
        <v>-0.57057409950865301</v>
      </c>
      <c r="D11" s="7">
        <f>(F11-F18)*(U11-U18)/(F19*U19)</f>
        <v>3.5688271788333448</v>
      </c>
      <c r="E11" s="7">
        <f>(F11-F18)*(P11-P18)/(F19*P19)</f>
        <v>-0.81978804496921276</v>
      </c>
      <c r="F11" s="7">
        <v>25</v>
      </c>
      <c r="G11" s="7">
        <f t="shared" si="0"/>
        <v>21</v>
      </c>
      <c r="H11" s="7">
        <v>4</v>
      </c>
      <c r="I11" s="7">
        <v>1</v>
      </c>
      <c r="J11" s="7">
        <f>(H11-H18)*(I11-I18)/(H19*I19)</f>
        <v>4.0474573698263273E-2</v>
      </c>
      <c r="K11" s="7">
        <v>1</v>
      </c>
      <c r="L11" s="7">
        <v>2</v>
      </c>
      <c r="M11" s="7">
        <v>4</v>
      </c>
      <c r="N11" s="7">
        <v>5</v>
      </c>
      <c r="O11" s="7">
        <v>1</v>
      </c>
      <c r="P11" s="7">
        <v>32</v>
      </c>
      <c r="Q11" s="7">
        <v>23</v>
      </c>
      <c r="R11" s="7">
        <v>9</v>
      </c>
      <c r="S11" s="7">
        <v>11</v>
      </c>
      <c r="T11" s="7">
        <v>5</v>
      </c>
      <c r="U11" s="7">
        <v>9</v>
      </c>
      <c r="V11" s="7">
        <f t="shared" si="1"/>
        <v>10</v>
      </c>
      <c r="W11" s="7">
        <f t="shared" si="5"/>
        <v>8</v>
      </c>
      <c r="X11" s="7">
        <f t="shared" si="2"/>
        <v>0.44</v>
      </c>
      <c r="Y11" s="7">
        <f t="shared" si="3"/>
        <v>0.36</v>
      </c>
      <c r="Z11" s="7">
        <f t="shared" si="4"/>
        <v>1.28</v>
      </c>
      <c r="AA11" s="7">
        <f t="shared" si="6"/>
        <v>0.25</v>
      </c>
      <c r="AB11" s="7" t="s">
        <v>33</v>
      </c>
      <c r="AC11" s="7" t="s">
        <v>36</v>
      </c>
    </row>
    <row r="12" spans="1:29" s="7" customFormat="1" x14ac:dyDescent="0.35">
      <c r="A12" s="7">
        <v>2012</v>
      </c>
      <c r="B12" s="7" t="s">
        <v>10</v>
      </c>
      <c r="C12" s="7">
        <f>(F12-F18)*(S12-S18)/(F19*S19)</f>
        <v>1.7347757974960056</v>
      </c>
      <c r="D12" s="7">
        <f>(F12-F18)*(U12-U18)/(F19*U19)</f>
        <v>0.39653635320370495</v>
      </c>
      <c r="E12" s="7">
        <f>(F12-F18)*(P12-P18)/(F19*P19)</f>
        <v>-0.52461822849647233</v>
      </c>
      <c r="F12" s="7">
        <v>18</v>
      </c>
      <c r="G12" s="7">
        <f t="shared" si="0"/>
        <v>16</v>
      </c>
      <c r="H12" s="7">
        <v>2</v>
      </c>
      <c r="I12" s="7">
        <v>1</v>
      </c>
      <c r="J12" s="7">
        <f>(H12-H18)*(I12-I18)/(H19*I19)</f>
        <v>-5.2038737612052778E-2</v>
      </c>
      <c r="K12" s="7">
        <v>1</v>
      </c>
      <c r="L12" s="7">
        <v>0</v>
      </c>
      <c r="M12" s="7">
        <v>5</v>
      </c>
      <c r="N12" s="7">
        <v>2</v>
      </c>
      <c r="O12" s="7">
        <v>1</v>
      </c>
      <c r="P12" s="7">
        <v>41</v>
      </c>
      <c r="Q12" s="7">
        <v>20</v>
      </c>
      <c r="R12" s="7">
        <v>8</v>
      </c>
      <c r="S12" s="7">
        <v>9</v>
      </c>
      <c r="T12" s="7">
        <v>4</v>
      </c>
      <c r="U12" s="7">
        <v>5</v>
      </c>
      <c r="V12" s="7">
        <f t="shared" si="1"/>
        <v>8</v>
      </c>
      <c r="W12" s="7">
        <f t="shared" si="5"/>
        <v>4</v>
      </c>
      <c r="X12" s="7">
        <f t="shared" si="2"/>
        <v>0.5</v>
      </c>
      <c r="Y12" s="7">
        <f t="shared" si="3"/>
        <v>0.27777777777777779</v>
      </c>
      <c r="Z12" s="7">
        <f t="shared" si="4"/>
        <v>2.2777777777777777</v>
      </c>
      <c r="AA12" s="7">
        <f t="shared" si="6"/>
        <v>0.5</v>
      </c>
      <c r="AB12" s="7" t="s">
        <v>35</v>
      </c>
      <c r="AC12" s="7" t="s">
        <v>39</v>
      </c>
    </row>
    <row r="13" spans="1:29" s="7" customFormat="1" x14ac:dyDescent="0.35">
      <c r="A13" s="7">
        <v>2012</v>
      </c>
      <c r="B13" s="7" t="s">
        <v>49</v>
      </c>
      <c r="C13" s="7">
        <f>(F13-F18)*(S13-S18)/(F19*S19)</f>
        <v>0.19348472349860529</v>
      </c>
      <c r="D13" s="7">
        <f>(F13-F18)*(U13-U18)/(F19*U19)</f>
        <v>1.141053587790253</v>
      </c>
      <c r="E13" s="7">
        <f>(F13-F18)*(P13-P18)/(F19*P19)</f>
        <v>0.50320523957824892</v>
      </c>
      <c r="F13" s="7">
        <v>24</v>
      </c>
      <c r="G13" s="7">
        <f t="shared" si="0"/>
        <v>20</v>
      </c>
      <c r="H13" s="7">
        <v>4</v>
      </c>
      <c r="I13" s="7">
        <v>1</v>
      </c>
      <c r="J13" s="7">
        <f>(H13-H18)*(I13-I18)/(H19*I19)</f>
        <v>4.0474573698263273E-2</v>
      </c>
      <c r="K13" s="7">
        <v>2</v>
      </c>
      <c r="L13" s="7">
        <v>1</v>
      </c>
      <c r="M13" s="7">
        <v>4</v>
      </c>
      <c r="N13" s="7">
        <v>4</v>
      </c>
      <c r="O13" s="7">
        <v>1</v>
      </c>
      <c r="P13" s="7">
        <v>41</v>
      </c>
      <c r="Q13" s="7">
        <v>15</v>
      </c>
      <c r="R13" s="7">
        <v>14</v>
      </c>
      <c r="S13" s="7">
        <v>12</v>
      </c>
      <c r="T13" s="7">
        <v>4</v>
      </c>
      <c r="U13" s="7">
        <v>7</v>
      </c>
      <c r="V13" s="7">
        <f t="shared" si="1"/>
        <v>11</v>
      </c>
      <c r="W13" s="7">
        <f t="shared" si="5"/>
        <v>5</v>
      </c>
      <c r="X13" s="7">
        <f t="shared" si="2"/>
        <v>0.5</v>
      </c>
      <c r="Y13" s="7">
        <f t="shared" si="3"/>
        <v>0.29166666666666669</v>
      </c>
      <c r="Z13" s="7">
        <f t="shared" si="4"/>
        <v>1.7083333333333333</v>
      </c>
      <c r="AA13" s="7">
        <f t="shared" si="6"/>
        <v>0.25</v>
      </c>
      <c r="AB13" s="7" t="s">
        <v>35</v>
      </c>
      <c r="AC13" s="7" t="s">
        <v>36</v>
      </c>
    </row>
    <row r="14" spans="1:29" s="7" customFormat="1" x14ac:dyDescent="0.35">
      <c r="A14" s="7">
        <v>2012</v>
      </c>
      <c r="B14" s="7" t="s">
        <v>14</v>
      </c>
      <c r="C14" s="7">
        <f>(F14-F18)*(S14-S18)/(F19*S19)</f>
        <v>9.0567317382325881E-3</v>
      </c>
      <c r="D14" s="7">
        <f>(F14-F18)*(U14-U18)/(F19*U19)</f>
        <v>-2.4277735910430916E-2</v>
      </c>
      <c r="E14" s="7">
        <f>(F14-F18)*(P14-P18)/(F19*P19)</f>
        <v>3.1460622179851246E-2</v>
      </c>
      <c r="F14" s="7">
        <v>21</v>
      </c>
      <c r="G14" s="7">
        <f t="shared" si="0"/>
        <v>19</v>
      </c>
      <c r="H14" s="7">
        <v>2</v>
      </c>
      <c r="I14" s="7">
        <v>1</v>
      </c>
      <c r="J14" s="7">
        <f>(H14-H18)*(I14-I18)/(H19*I19)</f>
        <v>-5.2038737612052778E-2</v>
      </c>
      <c r="K14" s="7">
        <v>0</v>
      </c>
      <c r="L14" s="7">
        <v>1</v>
      </c>
      <c r="M14" s="7">
        <v>4</v>
      </c>
      <c r="N14" s="7">
        <v>1</v>
      </c>
      <c r="O14" s="7">
        <v>1</v>
      </c>
      <c r="P14" s="7">
        <v>25</v>
      </c>
      <c r="Q14" s="7">
        <v>10</v>
      </c>
      <c r="R14" s="7">
        <v>13</v>
      </c>
      <c r="S14" s="7">
        <v>11</v>
      </c>
      <c r="T14" s="7">
        <v>3</v>
      </c>
      <c r="U14" s="7">
        <v>7</v>
      </c>
      <c r="V14" s="7">
        <f t="shared" si="1"/>
        <v>10</v>
      </c>
      <c r="W14" s="7">
        <f t="shared" si="5"/>
        <v>7</v>
      </c>
      <c r="X14" s="7">
        <f t="shared" si="2"/>
        <v>0.52380952380952384</v>
      </c>
      <c r="Y14" s="7">
        <f t="shared" si="3"/>
        <v>0.33333333333333331</v>
      </c>
      <c r="Z14" s="7">
        <f t="shared" si="4"/>
        <v>1.1904761904761905</v>
      </c>
      <c r="AA14" s="7">
        <f t="shared" si="6"/>
        <v>0.5</v>
      </c>
      <c r="AB14" s="7" t="s">
        <v>34</v>
      </c>
      <c r="AC14" s="7" t="s">
        <v>36</v>
      </c>
    </row>
    <row r="15" spans="1:29" s="7" customFormat="1" x14ac:dyDescent="0.35">
      <c r="A15" s="7">
        <v>2012</v>
      </c>
      <c r="B15" s="7" t="s">
        <v>15</v>
      </c>
      <c r="C15" s="7">
        <f>(F15-F18)*(S15-S18)/(F19*S19)</f>
        <v>0.8521561226427935</v>
      </c>
      <c r="D15" s="7">
        <f>(F15-F18)*(U15-U18)/(F19*U19)</f>
        <v>-0.36416603865646374</v>
      </c>
      <c r="E15" s="7">
        <f>(F15-F18)*(P15-P18)/(F19*P19)</f>
        <v>0.67450915092403585</v>
      </c>
      <c r="F15" s="7">
        <v>22</v>
      </c>
      <c r="G15" s="7">
        <f t="shared" si="0"/>
        <v>18</v>
      </c>
      <c r="H15" s="7">
        <v>4</v>
      </c>
      <c r="I15" s="7">
        <v>0</v>
      </c>
      <c r="J15" s="7">
        <f>(H15-H18)*(I15-I18)/(H19*I19)</f>
        <v>-0.60711860547394914</v>
      </c>
      <c r="K15" s="7">
        <v>4</v>
      </c>
      <c r="L15" s="7">
        <v>0</v>
      </c>
      <c r="M15" s="7">
        <v>2</v>
      </c>
      <c r="N15" s="7">
        <v>11</v>
      </c>
      <c r="O15" s="7">
        <v>0</v>
      </c>
      <c r="P15" s="7">
        <v>54</v>
      </c>
      <c r="Q15" s="7">
        <v>23</v>
      </c>
      <c r="R15" s="7">
        <v>9</v>
      </c>
      <c r="S15" s="7">
        <v>16</v>
      </c>
      <c r="T15" s="7">
        <v>2</v>
      </c>
      <c r="U15" s="7">
        <v>4</v>
      </c>
      <c r="V15" s="7">
        <f t="shared" si="1"/>
        <v>16</v>
      </c>
      <c r="W15" s="7">
        <f t="shared" si="5"/>
        <v>0</v>
      </c>
      <c r="X15" s="7">
        <f t="shared" si="2"/>
        <v>0.72727272727272729</v>
      </c>
      <c r="Y15" s="7">
        <f t="shared" si="3"/>
        <v>0.18181818181818182</v>
      </c>
      <c r="Z15" s="7">
        <f t="shared" si="4"/>
        <v>2.4545454545454546</v>
      </c>
      <c r="AA15" s="7">
        <f t="shared" si="6"/>
        <v>0</v>
      </c>
      <c r="AB15" s="7" t="s">
        <v>34</v>
      </c>
      <c r="AC15" s="7" t="s">
        <v>34</v>
      </c>
    </row>
    <row r="16" spans="1:29" s="7" customFormat="1" x14ac:dyDescent="0.35">
      <c r="A16" s="7">
        <v>2012</v>
      </c>
      <c r="B16" s="7" t="s">
        <v>31</v>
      </c>
      <c r="C16" s="7">
        <f>(F16-F18)*(S16-S18)/(F19*S19)</f>
        <v>0.5359938510535831</v>
      </c>
      <c r="D16" s="7">
        <f>(F16-F18)*(U16-U18)/(F19*U19)</f>
        <v>-0.25086993774111949</v>
      </c>
      <c r="E16" s="7">
        <f>(F16-F18)*(P16-P18)/(F19*P19)</f>
        <v>0.57699769369643406</v>
      </c>
      <c r="F16" s="7">
        <v>23</v>
      </c>
      <c r="G16" s="7">
        <f t="shared" si="0"/>
        <v>22</v>
      </c>
      <c r="H16" s="7">
        <v>1</v>
      </c>
      <c r="I16" s="7">
        <v>0</v>
      </c>
      <c r="J16" s="7">
        <f>(H16-H18)*(I16-I18)/(H19*I19)</f>
        <v>1.474430899008162</v>
      </c>
      <c r="K16" s="7">
        <v>0</v>
      </c>
      <c r="L16" s="7">
        <v>1</v>
      </c>
      <c r="M16" s="7">
        <v>0</v>
      </c>
      <c r="N16" s="7">
        <v>0</v>
      </c>
      <c r="O16" s="7">
        <v>1</v>
      </c>
      <c r="P16" s="7">
        <v>44</v>
      </c>
      <c r="Q16" s="7">
        <v>17</v>
      </c>
      <c r="R16" s="7">
        <v>10</v>
      </c>
      <c r="S16" s="7">
        <v>13</v>
      </c>
      <c r="T16" s="7">
        <v>5</v>
      </c>
      <c r="U16" s="7">
        <v>5</v>
      </c>
      <c r="V16" s="7">
        <f t="shared" si="1"/>
        <v>13</v>
      </c>
      <c r="W16" s="7">
        <f t="shared" si="5"/>
        <v>5</v>
      </c>
      <c r="X16" s="7">
        <f t="shared" si="2"/>
        <v>0.56521739130434778</v>
      </c>
      <c r="Y16" s="7">
        <f t="shared" si="3"/>
        <v>0.21739130434782608</v>
      </c>
      <c r="Z16" s="7">
        <f t="shared" si="4"/>
        <v>1.9130434782608696</v>
      </c>
      <c r="AA16" s="7">
        <f t="shared" si="6"/>
        <v>0</v>
      </c>
      <c r="AB16" s="7" t="s">
        <v>35</v>
      </c>
      <c r="AC16" s="7" t="s">
        <v>36</v>
      </c>
    </row>
    <row r="17" spans="1:29" s="7" customFormat="1" x14ac:dyDescent="0.35">
      <c r="A17" s="7">
        <v>2012</v>
      </c>
      <c r="B17" s="7" t="s">
        <v>50</v>
      </c>
      <c r="C17" s="7">
        <f>(F17-F18)*(S17-S18)/(F19*S19)</f>
        <v>-0.53105381556000175</v>
      </c>
      <c r="D17" s="7">
        <f>(F17-F18)*(U17-U18)/(F19*U19)</f>
        <v>-0.12138867955215459</v>
      </c>
      <c r="E17" s="7">
        <f>(F17-F18)*(P17-P18)/(F19*P19)</f>
        <v>-3.7060942358463508E-2</v>
      </c>
      <c r="F17" s="7">
        <v>22</v>
      </c>
      <c r="G17" s="7">
        <f t="shared" si="0"/>
        <v>17</v>
      </c>
      <c r="H17" s="7">
        <v>5</v>
      </c>
      <c r="I17" s="7">
        <v>0</v>
      </c>
      <c r="J17" s="7">
        <f>(H17-H18)*(I17-I18)/(H19*I19)</f>
        <v>-1.3009684403013195</v>
      </c>
      <c r="K17" s="7">
        <v>3</v>
      </c>
      <c r="L17" s="7">
        <v>2</v>
      </c>
      <c r="M17" s="7">
        <v>6</v>
      </c>
      <c r="N17" s="7">
        <v>11</v>
      </c>
      <c r="O17" s="7">
        <v>0</v>
      </c>
      <c r="P17" s="7">
        <v>36</v>
      </c>
      <c r="Q17" s="7">
        <v>36</v>
      </c>
      <c r="R17" s="7">
        <v>3</v>
      </c>
      <c r="S17" s="7">
        <v>9</v>
      </c>
      <c r="T17" s="7">
        <v>8</v>
      </c>
      <c r="U17" s="7">
        <v>5</v>
      </c>
      <c r="V17" s="7">
        <f t="shared" si="1"/>
        <v>9</v>
      </c>
      <c r="W17" s="7">
        <f t="shared" si="5"/>
        <v>2</v>
      </c>
      <c r="X17" s="7">
        <f t="shared" si="2"/>
        <v>0.40909090909090912</v>
      </c>
      <c r="Y17" s="7">
        <f t="shared" si="3"/>
        <v>0.22727272727272727</v>
      </c>
      <c r="Z17" s="7">
        <f t="shared" si="4"/>
        <v>1.6363636363636365</v>
      </c>
      <c r="AA17" s="7">
        <f t="shared" si="6"/>
        <v>0</v>
      </c>
      <c r="AB17" s="7" t="s">
        <v>33</v>
      </c>
      <c r="AC17" s="7" t="s">
        <v>36</v>
      </c>
    </row>
    <row r="18" spans="1:29" s="4" customFormat="1" x14ac:dyDescent="0.35">
      <c r="A18" s="4" t="s">
        <v>60</v>
      </c>
      <c r="C18" s="4">
        <f>AVERAGE(C2:C17)</f>
        <v>0.41249296371404798</v>
      </c>
      <c r="D18" s="4">
        <f>AVERAGE(D2:D17)</f>
        <v>0.52601761139266989</v>
      </c>
      <c r="E18" s="4">
        <f>AVERAGE(E2:E17)</f>
        <v>0.28215730782243548</v>
      </c>
      <c r="F18" s="4">
        <f>AVERAGE(F2:F17)</f>
        <v>21.0625</v>
      </c>
      <c r="H18" s="10">
        <f>AVERAGE(H2:H17)</f>
        <v>3.125</v>
      </c>
      <c r="I18" s="10">
        <f>AVERAGE(I2:I17)</f>
        <v>0.9375</v>
      </c>
      <c r="J18" s="4">
        <f>AVERAGE(J3:J17)</f>
        <v>0.1576581013579969</v>
      </c>
      <c r="K18" s="4">
        <f t="shared" ref="K18:R18" si="7">AVERAGE(K3:K17)</f>
        <v>1.3333333333333333</v>
      </c>
      <c r="L18" s="4">
        <f t="shared" si="7"/>
        <v>0.93333333333333335</v>
      </c>
      <c r="M18" s="4">
        <f t="shared" si="7"/>
        <v>4</v>
      </c>
      <c r="N18" s="4">
        <f t="shared" si="7"/>
        <v>4.9333333333333336</v>
      </c>
      <c r="O18" s="4">
        <f t="shared" si="7"/>
        <v>0.8</v>
      </c>
      <c r="P18" s="4">
        <f>AVERAGE(P2:P17)</f>
        <v>36.9375</v>
      </c>
      <c r="Q18" s="4">
        <f t="shared" si="7"/>
        <v>18.8</v>
      </c>
      <c r="R18" s="4">
        <f t="shared" si="7"/>
        <v>9.4666666666666668</v>
      </c>
      <c r="S18" s="4">
        <f t="shared" ref="S18:Y18" si="8">AVERAGE(S2:S17)</f>
        <v>11.6875</v>
      </c>
      <c r="T18" s="4">
        <f t="shared" si="8"/>
        <v>3.8125</v>
      </c>
      <c r="U18" s="4">
        <f t="shared" si="8"/>
        <v>5.5</v>
      </c>
      <c r="V18" s="1">
        <f t="shared" si="8"/>
        <v>10.75</v>
      </c>
      <c r="W18" s="1">
        <f t="shared" si="8"/>
        <v>4.25</v>
      </c>
      <c r="X18" s="4">
        <f t="shared" si="8"/>
        <v>0.55606366690286135</v>
      </c>
      <c r="Y18" s="4">
        <f t="shared" si="8"/>
        <v>0.2592756679417485</v>
      </c>
    </row>
    <row r="19" spans="1:29" s="4" customFormat="1" x14ac:dyDescent="0.35">
      <c r="A19" s="4" t="s">
        <v>61</v>
      </c>
      <c r="F19" s="4">
        <f>STDEVA(F2:F17)</f>
        <v>2.2051077071199945</v>
      </c>
      <c r="H19" s="4">
        <f>STDEV(H2:H17)</f>
        <v>1.4548768561863463</v>
      </c>
      <c r="I19" s="4">
        <f>STDEV(I2:I17)</f>
        <v>0.9287087810503355</v>
      </c>
      <c r="P19" s="4">
        <f>STDEVA(P2:P17)</f>
        <v>10.754650157025099</v>
      </c>
      <c r="S19" s="4">
        <f>STDEVA(S2:S17)</f>
        <v>2.1515498289992419</v>
      </c>
      <c r="U19" s="4">
        <f>STDEVA(U2:U17)</f>
        <v>1.7511900715418263</v>
      </c>
      <c r="V19" s="1"/>
      <c r="W19" s="1"/>
    </row>
    <row r="20" spans="1:29" s="4" customFormat="1" x14ac:dyDescent="0.35">
      <c r="A20" s="4" t="s">
        <v>67</v>
      </c>
      <c r="I20" s="4">
        <f>SUM(I1:I17)</f>
        <v>15</v>
      </c>
      <c r="K20" s="4">
        <f>SUM(K3:K17)</f>
        <v>20</v>
      </c>
      <c r="V20" s="1">
        <f>SUM(V2:V17)</f>
        <v>172</v>
      </c>
      <c r="W20" s="1">
        <f>SUM(W2:W17)</f>
        <v>68</v>
      </c>
    </row>
    <row r="21" spans="1:29" s="2" customFormat="1" x14ac:dyDescent="0.35">
      <c r="A21" s="2">
        <v>2008</v>
      </c>
      <c r="B21" s="2" t="s">
        <v>3</v>
      </c>
      <c r="F21" s="2">
        <v>23</v>
      </c>
      <c r="H21" s="2">
        <v>4</v>
      </c>
      <c r="I21" s="2">
        <v>0</v>
      </c>
      <c r="K21" s="2">
        <v>3</v>
      </c>
      <c r="L21" s="2">
        <v>1</v>
      </c>
      <c r="M21" s="2">
        <v>4</v>
      </c>
      <c r="N21" s="2">
        <v>9</v>
      </c>
      <c r="O21" s="2">
        <v>0</v>
      </c>
      <c r="P21" s="2">
        <v>28</v>
      </c>
      <c r="Q21" s="2">
        <v>32</v>
      </c>
      <c r="R21" s="2">
        <v>4</v>
      </c>
      <c r="S21" s="2">
        <v>5</v>
      </c>
      <c r="T21" s="2">
        <v>9</v>
      </c>
      <c r="U21" s="2">
        <v>9</v>
      </c>
      <c r="X21" s="2">
        <f t="shared" ref="X21:X68" si="9">S21/F21</f>
        <v>0.21739130434782608</v>
      </c>
      <c r="AB21" s="2" t="s">
        <v>33</v>
      </c>
      <c r="AC21" s="2" t="s">
        <v>36</v>
      </c>
    </row>
    <row r="22" spans="1:29" s="2" customFormat="1" x14ac:dyDescent="0.35">
      <c r="A22" s="2">
        <v>2008</v>
      </c>
      <c r="B22" s="2" t="s">
        <v>28</v>
      </c>
      <c r="F22" s="2">
        <v>20</v>
      </c>
      <c r="H22" s="2">
        <v>2</v>
      </c>
      <c r="I22" s="2">
        <v>1</v>
      </c>
      <c r="K22" s="2">
        <v>1</v>
      </c>
      <c r="L22" s="2">
        <v>0</v>
      </c>
      <c r="M22" s="2">
        <v>2</v>
      </c>
      <c r="N22" s="2">
        <v>3</v>
      </c>
      <c r="O22" s="2">
        <v>1</v>
      </c>
      <c r="P22" s="2">
        <v>43</v>
      </c>
      <c r="Q22" s="2">
        <v>18</v>
      </c>
      <c r="R22" s="2">
        <v>11</v>
      </c>
      <c r="S22" s="2">
        <v>14</v>
      </c>
      <c r="T22" s="2">
        <v>4</v>
      </c>
      <c r="U22" s="2">
        <v>2</v>
      </c>
      <c r="X22" s="2">
        <f t="shared" si="9"/>
        <v>0.7</v>
      </c>
      <c r="AB22" s="2" t="s">
        <v>34</v>
      </c>
      <c r="AC22" s="2" t="s">
        <v>37</v>
      </c>
    </row>
    <row r="23" spans="1:29" s="2" customFormat="1" x14ac:dyDescent="0.35">
      <c r="A23" s="2">
        <v>2008</v>
      </c>
      <c r="B23" s="2" t="s">
        <v>4</v>
      </c>
      <c r="F23" s="2">
        <v>20</v>
      </c>
      <c r="H23" s="2">
        <v>2</v>
      </c>
      <c r="I23" s="2">
        <v>1</v>
      </c>
      <c r="K23" s="2">
        <v>1</v>
      </c>
      <c r="L23" s="2">
        <v>0</v>
      </c>
      <c r="M23" s="2">
        <v>4</v>
      </c>
      <c r="N23" s="2">
        <v>2</v>
      </c>
      <c r="O23" s="2">
        <v>1</v>
      </c>
      <c r="P23" s="2">
        <v>38</v>
      </c>
      <c r="Q23" s="2">
        <v>14</v>
      </c>
      <c r="R23" s="2">
        <v>10</v>
      </c>
      <c r="S23" s="2">
        <v>12</v>
      </c>
      <c r="T23" s="2">
        <v>5</v>
      </c>
      <c r="U23" s="2">
        <v>3</v>
      </c>
      <c r="X23" s="2">
        <f t="shared" si="9"/>
        <v>0.6</v>
      </c>
      <c r="AB23" s="2" t="s">
        <v>34</v>
      </c>
      <c r="AC23" s="2" t="s">
        <v>36</v>
      </c>
    </row>
    <row r="24" spans="1:29" s="2" customFormat="1" x14ac:dyDescent="0.35">
      <c r="A24" s="2">
        <v>2008</v>
      </c>
      <c r="B24" s="2" t="s">
        <v>7</v>
      </c>
      <c r="F24" s="2">
        <v>23</v>
      </c>
      <c r="H24" s="2">
        <v>4</v>
      </c>
      <c r="I24" s="2">
        <v>1</v>
      </c>
      <c r="K24" s="2">
        <v>2</v>
      </c>
      <c r="L24" s="2">
        <v>1</v>
      </c>
      <c r="M24" s="2">
        <v>3</v>
      </c>
      <c r="N24" s="2">
        <v>3</v>
      </c>
      <c r="O24" s="2">
        <v>1</v>
      </c>
      <c r="P24" s="2">
        <v>36</v>
      </c>
      <c r="Q24" s="2">
        <v>10</v>
      </c>
      <c r="R24" s="2">
        <v>15</v>
      </c>
      <c r="S24" s="2">
        <v>15</v>
      </c>
      <c r="T24" s="2">
        <v>4</v>
      </c>
      <c r="U24" s="2">
        <v>4</v>
      </c>
      <c r="X24" s="2">
        <f t="shared" si="9"/>
        <v>0.65217391304347827</v>
      </c>
      <c r="AB24" s="2" t="s">
        <v>35</v>
      </c>
      <c r="AC24" s="2" t="s">
        <v>36</v>
      </c>
    </row>
    <row r="25" spans="1:29" s="2" customFormat="1" x14ac:dyDescent="0.35">
      <c r="A25" s="2">
        <v>2008</v>
      </c>
      <c r="B25" s="2" t="s">
        <v>5</v>
      </c>
      <c r="F25" s="2">
        <v>22</v>
      </c>
      <c r="H25" s="2">
        <v>2</v>
      </c>
      <c r="I25" s="2">
        <v>1</v>
      </c>
      <c r="K25" s="2">
        <v>0</v>
      </c>
      <c r="L25" s="2">
        <v>1</v>
      </c>
      <c r="M25" s="2">
        <v>2</v>
      </c>
      <c r="N25" s="2">
        <v>4</v>
      </c>
      <c r="O25" s="2">
        <v>0</v>
      </c>
      <c r="P25" s="2">
        <v>58</v>
      </c>
      <c r="Q25" s="2">
        <v>14</v>
      </c>
      <c r="R25" s="2">
        <v>11</v>
      </c>
      <c r="S25" s="2">
        <v>17</v>
      </c>
      <c r="T25" s="2">
        <v>3</v>
      </c>
      <c r="U25" s="2">
        <v>2</v>
      </c>
      <c r="X25" s="2">
        <f t="shared" si="9"/>
        <v>0.77272727272727271</v>
      </c>
      <c r="AB25" s="2" t="s">
        <v>35</v>
      </c>
      <c r="AC25" s="2" t="s">
        <v>38</v>
      </c>
    </row>
    <row r="26" spans="1:29" s="2" customFormat="1" x14ac:dyDescent="0.35">
      <c r="A26" s="2">
        <v>2008</v>
      </c>
      <c r="B26" s="2" t="s">
        <v>6</v>
      </c>
      <c r="F26" s="2">
        <v>21</v>
      </c>
      <c r="H26" s="2">
        <v>3</v>
      </c>
      <c r="I26" s="2">
        <v>1</v>
      </c>
      <c r="K26" s="2">
        <v>2</v>
      </c>
      <c r="L26" s="2">
        <v>0</v>
      </c>
      <c r="M26" s="2">
        <v>4</v>
      </c>
      <c r="N26" s="2">
        <v>5</v>
      </c>
      <c r="O26" s="2">
        <v>0</v>
      </c>
      <c r="P26" s="2">
        <v>35</v>
      </c>
      <c r="Q26" s="2">
        <v>24</v>
      </c>
      <c r="R26" s="2">
        <v>9</v>
      </c>
      <c r="S26" s="2">
        <v>13</v>
      </c>
      <c r="T26" s="2">
        <v>2</v>
      </c>
      <c r="U26" s="2">
        <v>6</v>
      </c>
      <c r="X26" s="2">
        <f t="shared" si="9"/>
        <v>0.61904761904761907</v>
      </c>
      <c r="AB26" s="2" t="s">
        <v>34</v>
      </c>
      <c r="AC26" s="2" t="s">
        <v>36</v>
      </c>
    </row>
    <row r="27" spans="1:29" s="2" customFormat="1" x14ac:dyDescent="0.35">
      <c r="A27" s="2">
        <v>2008</v>
      </c>
      <c r="B27" s="2" t="s">
        <v>8</v>
      </c>
      <c r="F27" s="2">
        <v>18</v>
      </c>
      <c r="H27" s="2">
        <v>5</v>
      </c>
      <c r="I27" s="2">
        <v>1</v>
      </c>
      <c r="K27" s="2">
        <v>3</v>
      </c>
      <c r="L27" s="2">
        <v>1</v>
      </c>
      <c r="M27" s="2">
        <v>4</v>
      </c>
      <c r="N27" s="2">
        <v>5</v>
      </c>
      <c r="O27" s="2">
        <v>1</v>
      </c>
      <c r="P27" s="2">
        <v>30</v>
      </c>
      <c r="Q27" s="2">
        <v>18</v>
      </c>
      <c r="R27" s="2">
        <v>5</v>
      </c>
      <c r="S27" s="2">
        <v>11</v>
      </c>
      <c r="T27" s="2">
        <v>3</v>
      </c>
      <c r="U27" s="2">
        <v>4</v>
      </c>
      <c r="X27" s="2">
        <f t="shared" si="9"/>
        <v>0.61111111111111116</v>
      </c>
      <c r="AB27" s="2" t="s">
        <v>34</v>
      </c>
      <c r="AC27" s="2" t="s">
        <v>37</v>
      </c>
    </row>
    <row r="28" spans="1:29" s="2" customFormat="1" x14ac:dyDescent="0.35">
      <c r="A28" s="2">
        <v>2008</v>
      </c>
      <c r="B28" s="2" t="s">
        <v>9</v>
      </c>
      <c r="F28" s="2">
        <v>23</v>
      </c>
      <c r="H28" s="2">
        <v>1</v>
      </c>
      <c r="I28" s="2">
        <v>1</v>
      </c>
      <c r="K28" s="2">
        <v>0</v>
      </c>
      <c r="L28" s="2">
        <v>0</v>
      </c>
      <c r="M28" s="2">
        <v>3</v>
      </c>
      <c r="N28" s="2">
        <v>0</v>
      </c>
      <c r="O28" s="2">
        <v>1</v>
      </c>
      <c r="P28" s="2">
        <v>43</v>
      </c>
      <c r="Q28" s="2">
        <v>14</v>
      </c>
      <c r="R28" s="2">
        <v>13</v>
      </c>
      <c r="S28" s="2">
        <v>16</v>
      </c>
      <c r="T28" s="2">
        <v>3</v>
      </c>
      <c r="U28" s="2">
        <v>4</v>
      </c>
      <c r="X28" s="2">
        <f t="shared" si="9"/>
        <v>0.69565217391304346</v>
      </c>
      <c r="AB28" s="2" t="s">
        <v>35</v>
      </c>
      <c r="AC28" s="2" t="s">
        <v>37</v>
      </c>
    </row>
    <row r="29" spans="1:29" s="2" customFormat="1" x14ac:dyDescent="0.35">
      <c r="A29" s="2">
        <v>2008</v>
      </c>
      <c r="B29" s="2" t="s">
        <v>16</v>
      </c>
      <c r="F29" s="2">
        <v>28</v>
      </c>
      <c r="H29" s="2">
        <v>3</v>
      </c>
      <c r="I29" s="2">
        <v>2</v>
      </c>
      <c r="K29" s="2">
        <v>0</v>
      </c>
      <c r="L29" s="2">
        <v>1</v>
      </c>
      <c r="M29" s="2">
        <v>6</v>
      </c>
      <c r="N29" s="2">
        <v>3</v>
      </c>
      <c r="O29" s="2">
        <v>1</v>
      </c>
      <c r="P29" s="2">
        <v>46</v>
      </c>
      <c r="Q29" s="2">
        <v>27</v>
      </c>
      <c r="R29" s="2">
        <v>12</v>
      </c>
      <c r="S29" s="2">
        <v>15</v>
      </c>
      <c r="T29" s="2">
        <v>8</v>
      </c>
      <c r="U29" s="2">
        <v>5</v>
      </c>
      <c r="X29" s="2">
        <f t="shared" si="9"/>
        <v>0.5357142857142857</v>
      </c>
      <c r="AB29" s="2" t="s">
        <v>34</v>
      </c>
      <c r="AC29" s="2" t="s">
        <v>36</v>
      </c>
    </row>
    <row r="30" spans="1:29" s="2" customFormat="1" x14ac:dyDescent="0.35">
      <c r="A30" s="2">
        <v>2008</v>
      </c>
      <c r="B30" s="2" t="s">
        <v>10</v>
      </c>
      <c r="F30" s="2">
        <v>20</v>
      </c>
      <c r="H30" s="2">
        <v>2</v>
      </c>
      <c r="I30" s="2">
        <v>1</v>
      </c>
      <c r="K30" s="2">
        <v>1</v>
      </c>
      <c r="L30" s="2">
        <v>0</v>
      </c>
      <c r="M30" s="2">
        <v>3</v>
      </c>
      <c r="N30" s="2">
        <v>3</v>
      </c>
      <c r="O30" s="2">
        <v>1</v>
      </c>
      <c r="P30" s="2">
        <v>33</v>
      </c>
      <c r="Q30" s="2">
        <v>19</v>
      </c>
      <c r="R30" s="2">
        <v>7</v>
      </c>
      <c r="S30" s="2">
        <v>9</v>
      </c>
      <c r="T30" s="2">
        <v>7</v>
      </c>
      <c r="U30" s="2">
        <v>4</v>
      </c>
      <c r="X30" s="2">
        <f t="shared" si="9"/>
        <v>0.45</v>
      </c>
      <c r="AB30" s="2" t="s">
        <v>35</v>
      </c>
      <c r="AC30" s="2" t="s">
        <v>37</v>
      </c>
    </row>
    <row r="31" spans="1:29" s="2" customFormat="1" x14ac:dyDescent="0.35">
      <c r="A31" s="2">
        <v>2008</v>
      </c>
      <c r="B31" s="2" t="s">
        <v>11</v>
      </c>
      <c r="F31" s="2">
        <v>20</v>
      </c>
      <c r="H31" s="2">
        <v>3</v>
      </c>
      <c r="I31" s="2">
        <v>2</v>
      </c>
      <c r="K31" s="2">
        <v>1</v>
      </c>
      <c r="L31" s="2">
        <v>1</v>
      </c>
      <c r="M31" s="2">
        <v>3</v>
      </c>
      <c r="N31" s="2">
        <v>3</v>
      </c>
      <c r="O31" s="2">
        <v>3</v>
      </c>
      <c r="P31" s="2">
        <v>38</v>
      </c>
      <c r="Q31" s="2">
        <v>12</v>
      </c>
      <c r="R31" s="2">
        <v>12</v>
      </c>
      <c r="S31" s="2">
        <v>15</v>
      </c>
      <c r="T31" s="2">
        <v>2</v>
      </c>
      <c r="U31" s="2">
        <v>3</v>
      </c>
      <c r="X31" s="2">
        <f t="shared" si="9"/>
        <v>0.75</v>
      </c>
      <c r="AB31" s="2" t="s">
        <v>34</v>
      </c>
      <c r="AC31" s="2" t="s">
        <v>36</v>
      </c>
    </row>
    <row r="32" spans="1:29" s="2" customFormat="1" x14ac:dyDescent="0.35">
      <c r="A32" s="2">
        <v>2008</v>
      </c>
      <c r="B32" s="2" t="s">
        <v>14</v>
      </c>
      <c r="F32" s="2">
        <v>19</v>
      </c>
      <c r="H32" s="2">
        <v>3</v>
      </c>
      <c r="I32" s="2">
        <v>0</v>
      </c>
      <c r="K32" s="2">
        <v>1</v>
      </c>
      <c r="L32" s="2">
        <v>2</v>
      </c>
      <c r="M32" s="2">
        <v>1</v>
      </c>
      <c r="N32" s="2">
        <v>4</v>
      </c>
      <c r="O32" s="2">
        <v>2</v>
      </c>
      <c r="P32" s="2">
        <v>34</v>
      </c>
      <c r="Q32" s="2">
        <v>18</v>
      </c>
      <c r="R32" s="2">
        <v>10</v>
      </c>
      <c r="S32" s="2">
        <v>11</v>
      </c>
      <c r="T32" s="2">
        <v>4</v>
      </c>
      <c r="U32" s="2">
        <v>4</v>
      </c>
      <c r="X32" s="2">
        <f t="shared" si="9"/>
        <v>0.57894736842105265</v>
      </c>
      <c r="AB32" s="2" t="s">
        <v>35</v>
      </c>
      <c r="AC32" s="2" t="s">
        <v>39</v>
      </c>
    </row>
    <row r="33" spans="1:29" s="2" customFormat="1" x14ac:dyDescent="0.35">
      <c r="A33" s="2">
        <v>2008</v>
      </c>
      <c r="B33" s="2" t="s">
        <v>15</v>
      </c>
      <c r="F33" s="2">
        <v>22</v>
      </c>
      <c r="H33" s="2">
        <v>3</v>
      </c>
      <c r="I33" s="2">
        <v>3</v>
      </c>
      <c r="K33" s="2">
        <v>0</v>
      </c>
      <c r="L33" s="2">
        <v>0</v>
      </c>
      <c r="M33" s="2">
        <v>4</v>
      </c>
      <c r="N33" s="2">
        <v>1</v>
      </c>
      <c r="O33" s="2">
        <v>2</v>
      </c>
      <c r="P33" s="2">
        <v>34</v>
      </c>
      <c r="Q33" s="2">
        <v>13</v>
      </c>
      <c r="R33" s="2">
        <v>13</v>
      </c>
      <c r="S33" s="2">
        <v>16</v>
      </c>
      <c r="T33" s="2">
        <v>3</v>
      </c>
      <c r="U33" s="2">
        <v>3</v>
      </c>
      <c r="X33" s="2">
        <f t="shared" si="9"/>
        <v>0.72727272727272729</v>
      </c>
      <c r="AB33" s="2" t="s">
        <v>34</v>
      </c>
      <c r="AC33" s="2" t="s">
        <v>34</v>
      </c>
    </row>
    <row r="34" spans="1:29" s="2" customFormat="1" x14ac:dyDescent="0.35">
      <c r="A34" s="2">
        <v>2008</v>
      </c>
      <c r="B34" s="2" t="s">
        <v>31</v>
      </c>
      <c r="F34" s="2">
        <v>26</v>
      </c>
      <c r="H34" s="2">
        <v>4</v>
      </c>
      <c r="I34" s="2">
        <v>1</v>
      </c>
      <c r="K34" s="2">
        <v>3</v>
      </c>
      <c r="L34" s="2">
        <v>0</v>
      </c>
      <c r="M34" s="2">
        <v>2</v>
      </c>
      <c r="N34" s="2">
        <v>7</v>
      </c>
      <c r="O34" s="2">
        <v>1</v>
      </c>
      <c r="P34" s="2">
        <v>29</v>
      </c>
      <c r="Q34" s="2">
        <v>25</v>
      </c>
      <c r="R34" s="2">
        <v>10</v>
      </c>
      <c r="S34" s="2">
        <v>12</v>
      </c>
      <c r="T34" s="2">
        <v>4</v>
      </c>
      <c r="U34" s="2">
        <v>10</v>
      </c>
      <c r="X34" s="2">
        <f t="shared" si="9"/>
        <v>0.46153846153846156</v>
      </c>
      <c r="AB34" s="2" t="s">
        <v>35</v>
      </c>
      <c r="AC34" s="2" t="s">
        <v>36</v>
      </c>
    </row>
    <row r="35" spans="1:29" s="2" customFormat="1" x14ac:dyDescent="0.35">
      <c r="A35" s="2">
        <v>2008</v>
      </c>
      <c r="B35" s="2" t="s">
        <v>12</v>
      </c>
      <c r="F35" s="2">
        <v>19</v>
      </c>
      <c r="H35" s="2">
        <v>5</v>
      </c>
      <c r="I35" s="2">
        <v>1</v>
      </c>
      <c r="K35" s="2">
        <v>3</v>
      </c>
      <c r="L35" s="2">
        <v>1</v>
      </c>
      <c r="M35" s="2">
        <v>5</v>
      </c>
      <c r="N35" s="2">
        <v>11</v>
      </c>
      <c r="O35" s="2">
        <v>0</v>
      </c>
      <c r="P35" s="2">
        <v>29</v>
      </c>
      <c r="Q35" s="2">
        <v>26</v>
      </c>
      <c r="R35" s="2">
        <v>6</v>
      </c>
      <c r="S35" s="2">
        <v>9</v>
      </c>
      <c r="T35" s="2">
        <v>1</v>
      </c>
      <c r="U35" s="2">
        <v>9</v>
      </c>
      <c r="X35" s="2">
        <f t="shared" si="9"/>
        <v>0.47368421052631576</v>
      </c>
      <c r="AB35" s="2" t="s">
        <v>33</v>
      </c>
      <c r="AC35" s="2" t="s">
        <v>36</v>
      </c>
    </row>
    <row r="36" spans="1:29" s="2" customFormat="1" x14ac:dyDescent="0.35">
      <c r="A36" s="2">
        <v>2008</v>
      </c>
      <c r="B36" s="2" t="s">
        <v>13</v>
      </c>
      <c r="F36" s="2">
        <v>22</v>
      </c>
      <c r="H36" s="2">
        <v>3</v>
      </c>
      <c r="I36" s="2">
        <v>0</v>
      </c>
      <c r="K36" s="2">
        <v>2</v>
      </c>
      <c r="L36" s="2">
        <v>2</v>
      </c>
      <c r="M36" s="2">
        <v>1</v>
      </c>
      <c r="N36" s="2">
        <v>3</v>
      </c>
      <c r="O36" s="2">
        <v>1</v>
      </c>
      <c r="P36" s="2">
        <v>34</v>
      </c>
      <c r="Q36" s="2">
        <v>20</v>
      </c>
      <c r="R36" s="2">
        <v>10</v>
      </c>
      <c r="S36" s="2">
        <v>10</v>
      </c>
      <c r="T36" s="2">
        <v>7</v>
      </c>
      <c r="U36" s="2">
        <v>5</v>
      </c>
      <c r="X36" s="2">
        <f t="shared" si="9"/>
        <v>0.45454545454545453</v>
      </c>
      <c r="AB36" s="2" t="s">
        <v>35</v>
      </c>
      <c r="AC36" s="2" t="s">
        <v>39</v>
      </c>
    </row>
    <row r="37" spans="1:29" x14ac:dyDescent="0.35">
      <c r="A37">
        <v>2004</v>
      </c>
      <c r="B37" t="s">
        <v>40</v>
      </c>
      <c r="F37">
        <v>18</v>
      </c>
      <c r="H37">
        <v>3</v>
      </c>
      <c r="I37">
        <v>0</v>
      </c>
      <c r="K37">
        <v>2</v>
      </c>
      <c r="L37">
        <v>1</v>
      </c>
      <c r="M37">
        <v>3</v>
      </c>
      <c r="N37">
        <v>6</v>
      </c>
      <c r="O37">
        <v>0</v>
      </c>
      <c r="P37">
        <v>29</v>
      </c>
      <c r="Q37">
        <v>13</v>
      </c>
      <c r="R37">
        <v>9</v>
      </c>
      <c r="S37" s="8">
        <v>10</v>
      </c>
      <c r="T37" s="4">
        <v>4</v>
      </c>
      <c r="U37" s="3">
        <v>4</v>
      </c>
      <c r="X37" s="1">
        <f t="shared" si="9"/>
        <v>0.55555555555555558</v>
      </c>
      <c r="AB37" t="s">
        <v>34</v>
      </c>
      <c r="AC37" t="s">
        <v>36</v>
      </c>
    </row>
    <row r="38" spans="1:29" x14ac:dyDescent="0.35">
      <c r="A38">
        <v>2004</v>
      </c>
      <c r="B38" t="s">
        <v>28</v>
      </c>
      <c r="F38">
        <v>21</v>
      </c>
      <c r="H38">
        <v>4</v>
      </c>
      <c r="I38">
        <v>1</v>
      </c>
      <c r="K38">
        <v>2</v>
      </c>
      <c r="L38">
        <v>1</v>
      </c>
      <c r="M38">
        <v>6</v>
      </c>
      <c r="N38">
        <v>8</v>
      </c>
      <c r="O38">
        <v>0</v>
      </c>
      <c r="P38">
        <v>27</v>
      </c>
      <c r="Q38">
        <v>17</v>
      </c>
      <c r="R38">
        <v>11</v>
      </c>
      <c r="S38" s="8">
        <v>10</v>
      </c>
      <c r="T38" s="4">
        <v>6</v>
      </c>
      <c r="U38" s="3">
        <v>4</v>
      </c>
      <c r="X38" s="1">
        <f t="shared" si="9"/>
        <v>0.47619047619047616</v>
      </c>
      <c r="AB38" t="s">
        <v>41</v>
      </c>
      <c r="AC38" t="s">
        <v>36</v>
      </c>
    </row>
    <row r="39" spans="1:29" x14ac:dyDescent="0.35">
      <c r="A39">
        <v>2004</v>
      </c>
      <c r="B39" t="s">
        <v>42</v>
      </c>
      <c r="F39">
        <v>25</v>
      </c>
      <c r="H39">
        <v>5</v>
      </c>
      <c r="I39">
        <v>3</v>
      </c>
      <c r="K39">
        <v>0</v>
      </c>
      <c r="L39">
        <v>1</v>
      </c>
      <c r="M39">
        <v>11</v>
      </c>
      <c r="N39">
        <v>3</v>
      </c>
      <c r="O39">
        <v>2</v>
      </c>
      <c r="P39">
        <v>54</v>
      </c>
      <c r="Q39">
        <v>16</v>
      </c>
      <c r="R39">
        <v>8</v>
      </c>
      <c r="S39" s="8">
        <v>20</v>
      </c>
      <c r="T39" s="4">
        <v>3</v>
      </c>
      <c r="U39" s="3">
        <v>2</v>
      </c>
      <c r="X39" s="1">
        <f t="shared" si="9"/>
        <v>0.8</v>
      </c>
      <c r="AB39" t="s">
        <v>34</v>
      </c>
      <c r="AC39" t="s">
        <v>43</v>
      </c>
    </row>
    <row r="40" spans="1:29" x14ac:dyDescent="0.35">
      <c r="A40">
        <v>2004</v>
      </c>
      <c r="B40" t="s">
        <v>44</v>
      </c>
      <c r="F40">
        <v>20</v>
      </c>
      <c r="H40">
        <v>4</v>
      </c>
      <c r="I40">
        <v>2</v>
      </c>
      <c r="K40">
        <v>1</v>
      </c>
      <c r="L40">
        <v>1</v>
      </c>
      <c r="M40">
        <v>5</v>
      </c>
      <c r="N40">
        <v>6</v>
      </c>
      <c r="O40">
        <v>1</v>
      </c>
      <c r="P40">
        <v>33</v>
      </c>
      <c r="Q40">
        <v>19</v>
      </c>
      <c r="R40">
        <v>8</v>
      </c>
      <c r="S40" s="8">
        <v>11</v>
      </c>
      <c r="T40" s="4">
        <v>6</v>
      </c>
      <c r="U40" s="3">
        <v>3</v>
      </c>
      <c r="X40" s="1">
        <f t="shared" si="9"/>
        <v>0.55000000000000004</v>
      </c>
      <c r="AB40" t="s">
        <v>34</v>
      </c>
      <c r="AC40" t="s">
        <v>45</v>
      </c>
    </row>
    <row r="41" spans="1:29" x14ac:dyDescent="0.35">
      <c r="A41">
        <v>2004</v>
      </c>
      <c r="B41" t="s">
        <v>46</v>
      </c>
      <c r="F41">
        <v>18</v>
      </c>
      <c r="H41">
        <v>3</v>
      </c>
      <c r="I41">
        <v>1</v>
      </c>
      <c r="K41">
        <v>1</v>
      </c>
      <c r="L41">
        <v>1</v>
      </c>
      <c r="M41">
        <v>4</v>
      </c>
      <c r="N41">
        <v>3</v>
      </c>
      <c r="O41">
        <v>2</v>
      </c>
      <c r="P41">
        <v>32</v>
      </c>
      <c r="Q41">
        <v>19</v>
      </c>
      <c r="R41">
        <v>5</v>
      </c>
      <c r="S41" s="8">
        <v>10</v>
      </c>
      <c r="T41" s="4">
        <v>5</v>
      </c>
      <c r="U41" s="3">
        <v>3</v>
      </c>
      <c r="X41" s="1">
        <f t="shared" si="9"/>
        <v>0.55555555555555558</v>
      </c>
      <c r="AB41" t="s">
        <v>34</v>
      </c>
      <c r="AC41" t="s">
        <v>45</v>
      </c>
    </row>
    <row r="42" spans="1:29" x14ac:dyDescent="0.35">
      <c r="A42">
        <v>2004</v>
      </c>
      <c r="B42" t="s">
        <v>7</v>
      </c>
      <c r="F42">
        <v>24</v>
      </c>
      <c r="H42">
        <v>5</v>
      </c>
      <c r="I42">
        <v>2</v>
      </c>
      <c r="K42">
        <v>1</v>
      </c>
      <c r="L42">
        <v>2</v>
      </c>
      <c r="M42">
        <v>6</v>
      </c>
      <c r="N42">
        <v>4</v>
      </c>
      <c r="O42">
        <v>3</v>
      </c>
      <c r="P42">
        <v>62</v>
      </c>
      <c r="Q42">
        <v>8</v>
      </c>
      <c r="R42">
        <v>18</v>
      </c>
      <c r="S42" s="8">
        <v>20</v>
      </c>
      <c r="T42" s="4">
        <v>3</v>
      </c>
      <c r="U42" s="3">
        <v>1</v>
      </c>
      <c r="X42" s="1">
        <f t="shared" si="9"/>
        <v>0.83333333333333337</v>
      </c>
      <c r="AB42" t="s">
        <v>34</v>
      </c>
      <c r="AC42" t="s">
        <v>45</v>
      </c>
    </row>
    <row r="43" spans="1:29" x14ac:dyDescent="0.35">
      <c r="A43">
        <v>2004</v>
      </c>
      <c r="B43" t="s">
        <v>5</v>
      </c>
      <c r="F43">
        <v>22</v>
      </c>
      <c r="H43">
        <v>4</v>
      </c>
      <c r="I43">
        <v>0</v>
      </c>
      <c r="K43">
        <v>4</v>
      </c>
      <c r="L43">
        <v>0</v>
      </c>
      <c r="M43">
        <v>2</v>
      </c>
      <c r="N43">
        <v>10</v>
      </c>
      <c r="O43">
        <v>0</v>
      </c>
      <c r="P43">
        <v>38</v>
      </c>
      <c r="Q43">
        <v>26</v>
      </c>
      <c r="R43">
        <v>8</v>
      </c>
      <c r="S43" s="8">
        <v>11</v>
      </c>
      <c r="T43" s="4">
        <v>5</v>
      </c>
      <c r="U43" s="3">
        <v>6</v>
      </c>
      <c r="X43" s="1">
        <f t="shared" si="9"/>
        <v>0.5</v>
      </c>
      <c r="AB43" t="s">
        <v>34</v>
      </c>
      <c r="AC43" t="s">
        <v>36</v>
      </c>
    </row>
    <row r="44" spans="1:29" x14ac:dyDescent="0.35">
      <c r="A44">
        <v>2004</v>
      </c>
      <c r="B44" t="s">
        <v>6</v>
      </c>
      <c r="F44">
        <v>19</v>
      </c>
      <c r="H44">
        <v>3</v>
      </c>
      <c r="I44">
        <v>1</v>
      </c>
      <c r="K44">
        <v>2</v>
      </c>
      <c r="L44">
        <v>0</v>
      </c>
      <c r="M44">
        <v>1</v>
      </c>
      <c r="N44">
        <v>6</v>
      </c>
      <c r="O44">
        <v>1</v>
      </c>
      <c r="P44">
        <v>22</v>
      </c>
      <c r="Q44">
        <v>14</v>
      </c>
      <c r="R44">
        <v>10</v>
      </c>
      <c r="S44" s="8">
        <v>11</v>
      </c>
      <c r="T44" s="4">
        <v>4</v>
      </c>
      <c r="U44" s="3">
        <v>4</v>
      </c>
      <c r="X44" s="1">
        <f t="shared" si="9"/>
        <v>0.57894736842105265</v>
      </c>
      <c r="AB44" t="s">
        <v>34</v>
      </c>
      <c r="AC44" t="s">
        <v>34</v>
      </c>
    </row>
    <row r="45" spans="1:29" x14ac:dyDescent="0.35">
      <c r="A45">
        <v>2004</v>
      </c>
      <c r="B45" t="s">
        <v>8</v>
      </c>
      <c r="F45">
        <v>20</v>
      </c>
      <c r="H45">
        <v>4</v>
      </c>
      <c r="I45">
        <v>1</v>
      </c>
      <c r="K45">
        <v>0</v>
      </c>
      <c r="L45">
        <v>3</v>
      </c>
      <c r="M45">
        <v>5</v>
      </c>
      <c r="N45">
        <v>4</v>
      </c>
      <c r="O45">
        <v>1</v>
      </c>
      <c r="P45">
        <v>35</v>
      </c>
      <c r="Q45">
        <v>14</v>
      </c>
      <c r="R45">
        <v>10</v>
      </c>
      <c r="S45" s="8">
        <v>12</v>
      </c>
      <c r="T45" s="4">
        <v>4</v>
      </c>
      <c r="U45" s="3">
        <v>4</v>
      </c>
      <c r="X45" s="1">
        <f t="shared" si="9"/>
        <v>0.6</v>
      </c>
      <c r="AB45" t="s">
        <v>34</v>
      </c>
      <c r="AC45" t="s">
        <v>36</v>
      </c>
    </row>
    <row r="46" spans="1:29" x14ac:dyDescent="0.35">
      <c r="A46">
        <v>2004</v>
      </c>
      <c r="B46" t="s">
        <v>47</v>
      </c>
      <c r="F46">
        <v>21</v>
      </c>
      <c r="H46">
        <v>1</v>
      </c>
      <c r="I46">
        <v>0</v>
      </c>
      <c r="K46">
        <v>0</v>
      </c>
      <c r="L46">
        <v>1</v>
      </c>
      <c r="M46">
        <v>2</v>
      </c>
      <c r="N46">
        <v>2</v>
      </c>
      <c r="O46">
        <v>0</v>
      </c>
      <c r="P46">
        <v>25</v>
      </c>
      <c r="Q46">
        <v>26</v>
      </c>
      <c r="R46">
        <v>8</v>
      </c>
      <c r="S46" s="8">
        <v>9</v>
      </c>
      <c r="T46" s="4">
        <v>4</v>
      </c>
      <c r="U46" s="3">
        <v>7</v>
      </c>
      <c r="X46" s="1">
        <f t="shared" si="9"/>
        <v>0.42857142857142855</v>
      </c>
      <c r="AB46" t="s">
        <v>41</v>
      </c>
      <c r="AC46" t="s">
        <v>36</v>
      </c>
    </row>
    <row r="47" spans="1:29" x14ac:dyDescent="0.35">
      <c r="A47">
        <v>2004</v>
      </c>
      <c r="B47" t="s">
        <v>9</v>
      </c>
      <c r="F47">
        <v>21</v>
      </c>
      <c r="H47">
        <v>5</v>
      </c>
      <c r="I47">
        <v>3</v>
      </c>
      <c r="K47">
        <v>1</v>
      </c>
      <c r="L47">
        <v>2</v>
      </c>
      <c r="M47">
        <v>7</v>
      </c>
      <c r="N47">
        <v>5</v>
      </c>
      <c r="O47">
        <v>3</v>
      </c>
      <c r="P47">
        <v>41</v>
      </c>
      <c r="Q47">
        <v>12</v>
      </c>
      <c r="R47">
        <v>11</v>
      </c>
      <c r="S47" s="8">
        <v>13</v>
      </c>
      <c r="T47" s="4">
        <v>4</v>
      </c>
      <c r="U47" s="3">
        <v>4</v>
      </c>
      <c r="X47" s="1">
        <f t="shared" si="9"/>
        <v>0.61904761904761907</v>
      </c>
      <c r="AB47" t="s">
        <v>41</v>
      </c>
      <c r="AC47" t="s">
        <v>43</v>
      </c>
    </row>
    <row r="48" spans="1:29" x14ac:dyDescent="0.35">
      <c r="A48">
        <v>2004</v>
      </c>
      <c r="B48" t="s">
        <v>10</v>
      </c>
      <c r="F48">
        <v>21</v>
      </c>
      <c r="H48">
        <v>7</v>
      </c>
      <c r="I48">
        <v>1</v>
      </c>
      <c r="K48">
        <v>3</v>
      </c>
      <c r="L48">
        <v>3</v>
      </c>
      <c r="M48">
        <v>6</v>
      </c>
      <c r="N48">
        <v>10</v>
      </c>
      <c r="O48">
        <v>0</v>
      </c>
      <c r="P48">
        <v>42</v>
      </c>
      <c r="Q48">
        <v>20</v>
      </c>
      <c r="R48">
        <v>8</v>
      </c>
      <c r="S48" s="8">
        <v>11</v>
      </c>
      <c r="T48" s="4">
        <v>7</v>
      </c>
      <c r="U48" s="3">
        <v>3</v>
      </c>
      <c r="X48" s="1">
        <f t="shared" si="9"/>
        <v>0.52380952380952384</v>
      </c>
      <c r="AB48" t="s">
        <v>33</v>
      </c>
      <c r="AC48" t="s">
        <v>38</v>
      </c>
    </row>
    <row r="49" spans="1:29" x14ac:dyDescent="0.35">
      <c r="A49">
        <v>2004</v>
      </c>
      <c r="B49" t="s">
        <v>14</v>
      </c>
      <c r="F49">
        <v>16</v>
      </c>
      <c r="H49" t="s">
        <v>58</v>
      </c>
      <c r="I49" t="s">
        <v>58</v>
      </c>
      <c r="K49" t="s">
        <v>58</v>
      </c>
      <c r="L49" t="s">
        <v>58</v>
      </c>
      <c r="M49">
        <v>0</v>
      </c>
      <c r="N49">
        <v>0</v>
      </c>
      <c r="O49">
        <v>0</v>
      </c>
      <c r="P49">
        <v>28</v>
      </c>
      <c r="Q49">
        <v>20</v>
      </c>
      <c r="R49">
        <v>4</v>
      </c>
      <c r="S49" s="8">
        <v>6</v>
      </c>
      <c r="T49" s="4">
        <v>6</v>
      </c>
      <c r="U49" s="3">
        <v>4</v>
      </c>
      <c r="X49" s="1">
        <f t="shared" si="9"/>
        <v>0.375</v>
      </c>
      <c r="AB49" t="s">
        <v>41</v>
      </c>
      <c r="AC49" t="s">
        <v>36</v>
      </c>
    </row>
    <row r="50" spans="1:29" x14ac:dyDescent="0.35">
      <c r="A50">
        <v>2004</v>
      </c>
      <c r="B50" t="s">
        <v>15</v>
      </c>
      <c r="F50">
        <v>22</v>
      </c>
      <c r="H50">
        <v>3</v>
      </c>
      <c r="I50">
        <v>2</v>
      </c>
      <c r="K50">
        <v>0</v>
      </c>
      <c r="L50">
        <v>1</v>
      </c>
      <c r="M50">
        <v>7</v>
      </c>
      <c r="N50">
        <v>2</v>
      </c>
      <c r="O50">
        <v>1</v>
      </c>
      <c r="P50">
        <v>42</v>
      </c>
      <c r="Q50">
        <v>10</v>
      </c>
      <c r="R50">
        <v>13</v>
      </c>
      <c r="S50" s="8">
        <v>15</v>
      </c>
      <c r="T50" s="4">
        <v>6</v>
      </c>
      <c r="U50" s="3">
        <v>1</v>
      </c>
      <c r="X50" s="1">
        <f t="shared" si="9"/>
        <v>0.68181818181818177</v>
      </c>
      <c r="AB50" t="s">
        <v>41</v>
      </c>
      <c r="AC50" t="s">
        <v>36</v>
      </c>
    </row>
    <row r="51" spans="1:29" x14ac:dyDescent="0.35">
      <c r="A51">
        <v>2004</v>
      </c>
      <c r="B51" t="s">
        <v>31</v>
      </c>
      <c r="F51">
        <v>25</v>
      </c>
      <c r="H51">
        <v>2</v>
      </c>
      <c r="I51">
        <v>1</v>
      </c>
      <c r="K51">
        <v>0</v>
      </c>
      <c r="L51">
        <v>1</v>
      </c>
      <c r="M51">
        <v>4</v>
      </c>
      <c r="N51">
        <v>3</v>
      </c>
      <c r="O51">
        <v>1</v>
      </c>
      <c r="P51">
        <v>47</v>
      </c>
      <c r="Q51">
        <v>28</v>
      </c>
      <c r="R51">
        <v>7</v>
      </c>
      <c r="S51" s="8">
        <v>11</v>
      </c>
      <c r="T51" s="4">
        <v>6</v>
      </c>
      <c r="U51" s="3">
        <v>8</v>
      </c>
      <c r="X51" s="1">
        <f t="shared" si="9"/>
        <v>0.44</v>
      </c>
      <c r="AB51" t="s">
        <v>34</v>
      </c>
      <c r="AC51" t="s">
        <v>45</v>
      </c>
    </row>
    <row r="52" spans="1:29" x14ac:dyDescent="0.35">
      <c r="A52">
        <v>2004</v>
      </c>
      <c r="B52" t="s">
        <v>12</v>
      </c>
      <c r="F52">
        <v>17</v>
      </c>
      <c r="H52">
        <v>3</v>
      </c>
      <c r="I52">
        <v>0</v>
      </c>
      <c r="K52">
        <v>3</v>
      </c>
      <c r="L52">
        <v>0</v>
      </c>
      <c r="M52">
        <v>1</v>
      </c>
      <c r="N52">
        <v>5</v>
      </c>
      <c r="O52">
        <v>0</v>
      </c>
      <c r="P52">
        <v>28</v>
      </c>
      <c r="Q52">
        <v>20</v>
      </c>
      <c r="R52">
        <v>2</v>
      </c>
      <c r="S52" s="8">
        <v>8</v>
      </c>
      <c r="T52" s="4">
        <v>3</v>
      </c>
      <c r="U52" s="3">
        <v>6</v>
      </c>
      <c r="X52" s="1">
        <f t="shared" si="9"/>
        <v>0.47058823529411764</v>
      </c>
      <c r="AB52" t="s">
        <v>34</v>
      </c>
      <c r="AC52" t="s">
        <v>36</v>
      </c>
    </row>
    <row r="53" spans="1:29" x14ac:dyDescent="0.35">
      <c r="A53">
        <v>2000</v>
      </c>
      <c r="B53" t="s">
        <v>51</v>
      </c>
      <c r="F53">
        <v>19</v>
      </c>
      <c r="H53">
        <v>3</v>
      </c>
      <c r="I53">
        <v>1</v>
      </c>
      <c r="K53">
        <v>2</v>
      </c>
      <c r="L53">
        <v>0</v>
      </c>
      <c r="M53">
        <v>2</v>
      </c>
      <c r="N53">
        <v>2</v>
      </c>
      <c r="O53">
        <v>1</v>
      </c>
      <c r="P53">
        <v>27</v>
      </c>
      <c r="Q53">
        <v>23</v>
      </c>
      <c r="R53">
        <v>5</v>
      </c>
      <c r="S53" s="8">
        <v>5</v>
      </c>
      <c r="T53" s="4">
        <v>7</v>
      </c>
      <c r="U53" s="3">
        <v>7</v>
      </c>
      <c r="X53" s="1">
        <f t="shared" si="9"/>
        <v>0.26315789473684209</v>
      </c>
      <c r="AB53" t="s">
        <v>33</v>
      </c>
      <c r="AC53" t="s">
        <v>36</v>
      </c>
    </row>
    <row r="54" spans="1:29" x14ac:dyDescent="0.35">
      <c r="A54">
        <v>2000</v>
      </c>
      <c r="B54" t="s">
        <v>4</v>
      </c>
      <c r="F54">
        <v>21</v>
      </c>
      <c r="H54">
        <v>1</v>
      </c>
      <c r="I54">
        <v>0</v>
      </c>
      <c r="K54">
        <v>1</v>
      </c>
      <c r="L54">
        <v>0</v>
      </c>
      <c r="M54">
        <v>2</v>
      </c>
      <c r="N54">
        <v>3</v>
      </c>
      <c r="O54">
        <v>0</v>
      </c>
      <c r="P54">
        <v>45</v>
      </c>
      <c r="Q54">
        <v>19</v>
      </c>
      <c r="R54">
        <v>9</v>
      </c>
      <c r="S54" s="8">
        <v>16</v>
      </c>
      <c r="T54" s="4">
        <v>4</v>
      </c>
      <c r="U54" s="3">
        <v>1</v>
      </c>
      <c r="X54" s="1">
        <f t="shared" si="9"/>
        <v>0.76190476190476186</v>
      </c>
      <c r="AB54" t="s">
        <v>34</v>
      </c>
      <c r="AC54" t="s">
        <v>36</v>
      </c>
    </row>
    <row r="55" spans="1:29" x14ac:dyDescent="0.35">
      <c r="A55">
        <v>2000</v>
      </c>
      <c r="B55" t="s">
        <v>44</v>
      </c>
      <c r="F55">
        <v>19</v>
      </c>
      <c r="H55">
        <v>1</v>
      </c>
      <c r="I55">
        <v>0</v>
      </c>
      <c r="K55">
        <v>1</v>
      </c>
      <c r="L55">
        <v>0</v>
      </c>
      <c r="M55">
        <v>0</v>
      </c>
      <c r="N55">
        <v>1</v>
      </c>
      <c r="O55">
        <v>0</v>
      </c>
      <c r="P55">
        <v>26</v>
      </c>
      <c r="Q55">
        <v>15</v>
      </c>
      <c r="R55">
        <v>8</v>
      </c>
      <c r="S55" s="8">
        <v>7</v>
      </c>
      <c r="T55" s="4">
        <v>5</v>
      </c>
      <c r="U55" s="3">
        <v>7</v>
      </c>
      <c r="X55" s="1">
        <f t="shared" si="9"/>
        <v>0.36842105263157893</v>
      </c>
      <c r="AB55" t="s">
        <v>57</v>
      </c>
      <c r="AC55" t="s">
        <v>36</v>
      </c>
    </row>
    <row r="56" spans="1:29" x14ac:dyDescent="0.35">
      <c r="A56">
        <v>2000</v>
      </c>
      <c r="B56" t="s">
        <v>46</v>
      </c>
      <c r="F56">
        <v>18</v>
      </c>
      <c r="H56">
        <v>4</v>
      </c>
      <c r="I56">
        <v>1</v>
      </c>
      <c r="K56">
        <v>1</v>
      </c>
      <c r="L56">
        <v>2</v>
      </c>
      <c r="M56">
        <v>3</v>
      </c>
      <c r="N56">
        <v>3</v>
      </c>
      <c r="O56">
        <v>2</v>
      </c>
      <c r="P56">
        <v>26</v>
      </c>
      <c r="Q56">
        <v>11</v>
      </c>
      <c r="R56">
        <v>9</v>
      </c>
      <c r="S56" s="8">
        <v>8</v>
      </c>
      <c r="T56" s="4">
        <v>3</v>
      </c>
      <c r="U56" s="3">
        <v>7</v>
      </c>
      <c r="X56" s="1">
        <f t="shared" si="9"/>
        <v>0.44444444444444442</v>
      </c>
      <c r="AB56" t="s">
        <v>57</v>
      </c>
      <c r="AC56" t="s">
        <v>36</v>
      </c>
    </row>
    <row r="57" spans="1:29" x14ac:dyDescent="0.35">
      <c r="A57">
        <v>2000</v>
      </c>
      <c r="B57" t="s">
        <v>7</v>
      </c>
      <c r="F57">
        <v>21</v>
      </c>
      <c r="H57">
        <v>2</v>
      </c>
      <c r="I57">
        <v>2</v>
      </c>
      <c r="K57">
        <v>0</v>
      </c>
      <c r="L57">
        <v>0</v>
      </c>
      <c r="M57">
        <v>5</v>
      </c>
      <c r="N57">
        <v>0</v>
      </c>
      <c r="O57">
        <v>2</v>
      </c>
      <c r="P57">
        <v>41</v>
      </c>
      <c r="Q57">
        <v>17</v>
      </c>
      <c r="R57">
        <v>12</v>
      </c>
      <c r="S57" s="8">
        <v>16</v>
      </c>
      <c r="T57" s="4">
        <v>1</v>
      </c>
      <c r="U57" s="3">
        <v>4</v>
      </c>
      <c r="X57" s="1">
        <f t="shared" si="9"/>
        <v>0.76190476190476186</v>
      </c>
      <c r="AB57" t="s">
        <v>34</v>
      </c>
      <c r="AC57" t="s">
        <v>34</v>
      </c>
    </row>
    <row r="58" spans="1:29" x14ac:dyDescent="0.35">
      <c r="A58">
        <v>2000</v>
      </c>
      <c r="B58" t="s">
        <v>52</v>
      </c>
      <c r="F58">
        <v>16</v>
      </c>
      <c r="H58">
        <v>3</v>
      </c>
      <c r="I58">
        <v>0</v>
      </c>
      <c r="K58">
        <v>0</v>
      </c>
      <c r="L58">
        <v>3</v>
      </c>
      <c r="M58">
        <v>3</v>
      </c>
      <c r="N58">
        <v>3</v>
      </c>
      <c r="O58">
        <v>1</v>
      </c>
      <c r="P58">
        <v>25</v>
      </c>
      <c r="Q58">
        <v>14</v>
      </c>
      <c r="R58">
        <v>7</v>
      </c>
      <c r="S58" s="8">
        <v>8</v>
      </c>
      <c r="T58" s="4">
        <v>2</v>
      </c>
      <c r="U58" s="3">
        <v>6</v>
      </c>
      <c r="X58" s="1">
        <f t="shared" si="9"/>
        <v>0.5</v>
      </c>
      <c r="AB58" t="s">
        <v>34</v>
      </c>
      <c r="AC58" t="s">
        <v>55</v>
      </c>
    </row>
    <row r="59" spans="1:29" x14ac:dyDescent="0.35">
      <c r="A59">
        <v>2000</v>
      </c>
      <c r="B59" t="s">
        <v>5</v>
      </c>
      <c r="F59">
        <v>23</v>
      </c>
      <c r="H59">
        <v>5</v>
      </c>
      <c r="I59">
        <v>2</v>
      </c>
      <c r="K59">
        <v>1</v>
      </c>
      <c r="L59">
        <v>2</v>
      </c>
      <c r="M59">
        <v>6</v>
      </c>
      <c r="N59">
        <v>8</v>
      </c>
      <c r="O59">
        <v>1</v>
      </c>
      <c r="P59">
        <v>44</v>
      </c>
      <c r="Q59">
        <v>28</v>
      </c>
      <c r="R59">
        <v>6</v>
      </c>
      <c r="S59" s="8">
        <v>11</v>
      </c>
      <c r="T59" s="4">
        <v>6</v>
      </c>
      <c r="U59" s="3">
        <v>6</v>
      </c>
      <c r="X59" s="1">
        <f t="shared" si="9"/>
        <v>0.47826086956521741</v>
      </c>
      <c r="AB59" t="s">
        <v>34</v>
      </c>
      <c r="AC59" t="s">
        <v>36</v>
      </c>
    </row>
    <row r="60" spans="1:29" x14ac:dyDescent="0.35">
      <c r="A60">
        <v>2000</v>
      </c>
      <c r="B60" t="s">
        <v>8</v>
      </c>
      <c r="F60">
        <v>16</v>
      </c>
      <c r="H60">
        <v>5</v>
      </c>
      <c r="I60">
        <v>0</v>
      </c>
      <c r="K60">
        <v>2</v>
      </c>
      <c r="L60">
        <v>3</v>
      </c>
      <c r="M60">
        <v>2</v>
      </c>
      <c r="N60">
        <v>5</v>
      </c>
      <c r="O60">
        <v>2</v>
      </c>
      <c r="P60">
        <v>19</v>
      </c>
      <c r="Q60">
        <v>13</v>
      </c>
      <c r="R60">
        <v>9</v>
      </c>
      <c r="S60" s="8">
        <v>6</v>
      </c>
      <c r="T60" s="4">
        <v>4</v>
      </c>
      <c r="U60" s="3">
        <v>6</v>
      </c>
      <c r="X60" s="1">
        <f t="shared" si="9"/>
        <v>0.375</v>
      </c>
      <c r="AB60" t="s">
        <v>34</v>
      </c>
      <c r="AC60" t="s">
        <v>38</v>
      </c>
    </row>
    <row r="61" spans="1:29" x14ac:dyDescent="0.35">
      <c r="A61">
        <v>2000</v>
      </c>
      <c r="B61" t="s">
        <v>9</v>
      </c>
      <c r="F61">
        <v>17</v>
      </c>
      <c r="H61">
        <v>8</v>
      </c>
      <c r="I61">
        <v>2</v>
      </c>
      <c r="K61">
        <v>1</v>
      </c>
      <c r="L61">
        <v>5</v>
      </c>
      <c r="M61">
        <v>12</v>
      </c>
      <c r="N61">
        <v>12</v>
      </c>
      <c r="O61">
        <v>0</v>
      </c>
      <c r="P61">
        <v>25</v>
      </c>
      <c r="Q61">
        <v>22</v>
      </c>
      <c r="R61">
        <v>5</v>
      </c>
      <c r="S61" s="8">
        <v>4</v>
      </c>
      <c r="T61" s="4">
        <v>2</v>
      </c>
      <c r="U61" s="3">
        <v>11</v>
      </c>
      <c r="X61" s="1">
        <f t="shared" si="9"/>
        <v>0.23529411764705882</v>
      </c>
      <c r="AB61" t="s">
        <v>33</v>
      </c>
      <c r="AC61" t="s">
        <v>56</v>
      </c>
    </row>
    <row r="62" spans="1:29" x14ac:dyDescent="0.35">
      <c r="A62">
        <v>2000</v>
      </c>
      <c r="B62" t="s">
        <v>53</v>
      </c>
      <c r="F62">
        <v>21</v>
      </c>
      <c r="H62" t="s">
        <v>58</v>
      </c>
      <c r="I62" t="s">
        <v>58</v>
      </c>
      <c r="K62" t="s">
        <v>58</v>
      </c>
      <c r="L62" t="s">
        <v>58</v>
      </c>
      <c r="M62">
        <v>0</v>
      </c>
      <c r="N62">
        <v>0</v>
      </c>
      <c r="O62">
        <v>0</v>
      </c>
      <c r="P62">
        <v>34</v>
      </c>
      <c r="Q62">
        <v>19</v>
      </c>
      <c r="R62">
        <v>10</v>
      </c>
      <c r="S62" s="8">
        <v>13</v>
      </c>
      <c r="T62" s="4">
        <v>3</v>
      </c>
      <c r="U62" s="3">
        <v>5</v>
      </c>
      <c r="X62" s="1">
        <f t="shared" si="9"/>
        <v>0.61904761904761907</v>
      </c>
      <c r="AB62" t="s">
        <v>34</v>
      </c>
      <c r="AC62" t="s">
        <v>36</v>
      </c>
    </row>
    <row r="63" spans="1:29" x14ac:dyDescent="0.35">
      <c r="A63">
        <v>2000</v>
      </c>
      <c r="B63" t="s">
        <v>10</v>
      </c>
      <c r="F63">
        <v>18</v>
      </c>
      <c r="H63">
        <v>2</v>
      </c>
      <c r="I63">
        <v>0</v>
      </c>
      <c r="K63">
        <v>1</v>
      </c>
      <c r="L63">
        <v>1</v>
      </c>
      <c r="M63">
        <v>1</v>
      </c>
      <c r="N63">
        <v>2</v>
      </c>
      <c r="O63">
        <v>0</v>
      </c>
      <c r="P63">
        <v>46</v>
      </c>
      <c r="Q63">
        <v>9</v>
      </c>
      <c r="R63">
        <v>10</v>
      </c>
      <c r="S63" s="8">
        <v>12</v>
      </c>
      <c r="T63" s="4">
        <v>2</v>
      </c>
      <c r="U63" s="3">
        <v>4</v>
      </c>
      <c r="X63" s="1">
        <f t="shared" si="9"/>
        <v>0.66666666666666663</v>
      </c>
      <c r="AB63" t="s">
        <v>57</v>
      </c>
      <c r="AC63" t="s">
        <v>56</v>
      </c>
    </row>
    <row r="64" spans="1:29" x14ac:dyDescent="0.35">
      <c r="A64">
        <v>2000</v>
      </c>
      <c r="B64" t="s">
        <v>11</v>
      </c>
      <c r="F64">
        <v>23</v>
      </c>
      <c r="H64">
        <v>1</v>
      </c>
      <c r="I64">
        <v>0</v>
      </c>
      <c r="K64">
        <v>0</v>
      </c>
      <c r="L64">
        <v>1</v>
      </c>
      <c r="M64">
        <v>1</v>
      </c>
      <c r="N64">
        <v>1</v>
      </c>
      <c r="O64">
        <v>0</v>
      </c>
      <c r="P64">
        <v>41</v>
      </c>
      <c r="Q64">
        <v>17</v>
      </c>
      <c r="R64">
        <v>12</v>
      </c>
      <c r="S64" s="8">
        <v>13</v>
      </c>
      <c r="T64" s="4">
        <v>4</v>
      </c>
      <c r="U64" s="3">
        <v>6</v>
      </c>
      <c r="X64" s="1">
        <f t="shared" si="9"/>
        <v>0.56521739130434778</v>
      </c>
      <c r="AB64" t="s">
        <v>34</v>
      </c>
      <c r="AC64" t="s">
        <v>55</v>
      </c>
    </row>
    <row r="65" spans="1:29" x14ac:dyDescent="0.35">
      <c r="A65">
        <v>2000</v>
      </c>
      <c r="B65" t="s">
        <v>54</v>
      </c>
      <c r="F65">
        <v>20</v>
      </c>
      <c r="H65">
        <v>2</v>
      </c>
      <c r="I65">
        <v>0</v>
      </c>
      <c r="K65">
        <v>2</v>
      </c>
      <c r="L65">
        <v>0</v>
      </c>
      <c r="M65">
        <v>1</v>
      </c>
      <c r="N65">
        <v>6</v>
      </c>
      <c r="O65">
        <v>0</v>
      </c>
      <c r="P65">
        <v>33</v>
      </c>
      <c r="Q65">
        <v>25</v>
      </c>
      <c r="R65">
        <v>6</v>
      </c>
      <c r="S65" s="8">
        <v>9</v>
      </c>
      <c r="T65" s="4">
        <v>6</v>
      </c>
      <c r="U65" s="3">
        <v>5</v>
      </c>
      <c r="X65" s="1">
        <f t="shared" si="9"/>
        <v>0.45</v>
      </c>
      <c r="AB65" t="s">
        <v>57</v>
      </c>
      <c r="AC65" t="s">
        <v>36</v>
      </c>
    </row>
    <row r="66" spans="1:29" x14ac:dyDescent="0.35">
      <c r="A66">
        <v>2000</v>
      </c>
      <c r="B66" t="s">
        <v>15</v>
      </c>
      <c r="F66">
        <v>19</v>
      </c>
      <c r="H66">
        <v>4</v>
      </c>
      <c r="I66">
        <v>1</v>
      </c>
      <c r="K66">
        <v>1</v>
      </c>
      <c r="L66">
        <v>2</v>
      </c>
      <c r="M66">
        <v>3</v>
      </c>
      <c r="N66">
        <v>3</v>
      </c>
      <c r="O66">
        <v>2</v>
      </c>
      <c r="P66">
        <v>57</v>
      </c>
      <c r="Q66">
        <v>13</v>
      </c>
      <c r="R66">
        <v>11</v>
      </c>
      <c r="S66" s="8">
        <v>13</v>
      </c>
      <c r="T66" s="4">
        <v>2</v>
      </c>
      <c r="U66" s="3">
        <v>4</v>
      </c>
      <c r="X66" s="1">
        <f t="shared" si="9"/>
        <v>0.68421052631578949</v>
      </c>
      <c r="AB66" t="s">
        <v>34</v>
      </c>
      <c r="AC66" t="s">
        <v>55</v>
      </c>
    </row>
    <row r="67" spans="1:29" x14ac:dyDescent="0.35">
      <c r="A67">
        <v>2000</v>
      </c>
      <c r="B67" t="s">
        <v>31</v>
      </c>
      <c r="F67">
        <v>20</v>
      </c>
      <c r="H67">
        <v>1</v>
      </c>
      <c r="I67">
        <v>0</v>
      </c>
      <c r="K67">
        <v>0</v>
      </c>
      <c r="L67">
        <v>1</v>
      </c>
      <c r="M67">
        <v>1</v>
      </c>
      <c r="N67">
        <v>1</v>
      </c>
      <c r="O67">
        <v>0</v>
      </c>
      <c r="P67">
        <v>18</v>
      </c>
      <c r="Q67">
        <v>9</v>
      </c>
      <c r="R67">
        <v>11</v>
      </c>
      <c r="S67" s="8">
        <v>12</v>
      </c>
      <c r="T67" s="4">
        <v>3</v>
      </c>
      <c r="U67" s="3">
        <v>5</v>
      </c>
      <c r="X67" s="1">
        <f t="shared" si="9"/>
        <v>0.6</v>
      </c>
      <c r="AB67" t="s">
        <v>34</v>
      </c>
      <c r="AC67" t="s">
        <v>36</v>
      </c>
    </row>
    <row r="68" spans="1:29" x14ac:dyDescent="0.35">
      <c r="A68">
        <v>2000</v>
      </c>
      <c r="B68" t="s">
        <v>13</v>
      </c>
      <c r="F68">
        <v>11</v>
      </c>
      <c r="H68">
        <v>3</v>
      </c>
      <c r="I68">
        <v>1</v>
      </c>
      <c r="K68">
        <v>1</v>
      </c>
      <c r="L68">
        <v>1</v>
      </c>
      <c r="M68">
        <v>1</v>
      </c>
      <c r="N68">
        <v>2</v>
      </c>
      <c r="O68">
        <v>2</v>
      </c>
      <c r="P68">
        <v>16</v>
      </c>
      <c r="Q68">
        <v>9</v>
      </c>
      <c r="R68">
        <v>6</v>
      </c>
      <c r="S68" s="8">
        <v>5</v>
      </c>
      <c r="T68" s="4">
        <v>2</v>
      </c>
      <c r="U68" s="3">
        <v>4</v>
      </c>
      <c r="X68" s="1">
        <f t="shared" si="9"/>
        <v>0.45454545454545453</v>
      </c>
      <c r="AB68" t="s">
        <v>57</v>
      </c>
      <c r="AC68" t="s">
        <v>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2018-12-17T23:45:37Z</dcterms:modified>
</cp:coreProperties>
</file>